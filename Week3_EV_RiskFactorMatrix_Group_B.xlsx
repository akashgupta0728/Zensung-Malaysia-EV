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Factor Matrix" sheetId="1" state="visible" r:id="rId3"/>
    <sheet name="Risk Summary Dashboard" sheetId="2" state="visible" r:id="rId4"/>
    <sheet name="MY Insurer Pricing Benchmar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<sst xmlns="http://schemas.openxmlformats.org/spreadsheetml/2006/main" count="423" uniqueCount="324">
  <si>
    <t xml:space="preserve">EV RISK FACTOR MATRIX  |  GROUP B — ZENSUNG INTERNSHIP 2026  |  WEEK 3 DELIVERABLE</t>
  </si>
  <si>
    <t xml:space="preserve">EV Insurance Underwriting  |  Malaysia Market Focus  |  Scoring: Probability (1–5) × Severity (1–5) = Risk Score  |  Loading: % premium adjustment</t>
  </si>
  <si>
    <t xml:space="preserve">▌ RISK LEVELS:   1–4 = LOW (green)   |   5–9 = MEDIUM (amber)   |   10–16 = HIGH (orange)   |   17–25 = CRITICAL (red)   ▐    Loading guide: LOW = 0–5%  |  MEDIUM = 5–15%  |  HIGH = 15–30%  |  CRITICAL = 30–50%</t>
  </si>
  <si>
    <t xml:space="preserve">#</t>
  </si>
  <si>
    <t xml:space="preserve">Risk Factor</t>
  </si>
  <si>
    <t xml:space="preserve">Category</t>
  </si>
  <si>
    <t xml:space="preserve">Description / Driver</t>
  </si>
  <si>
    <t xml:space="preserve">Probability
(1=Low, 5=High)</t>
  </si>
  <si>
    <t xml:space="preserve">Severity
(1=Low, 5=High)</t>
  </si>
  <si>
    <t xml:space="preserve">Risk Score
(P × S)</t>
  </si>
  <si>
    <t xml:space="preserve">Risk Level</t>
  </si>
  <si>
    <t xml:space="preserve">Proposed
Loading %</t>
  </si>
  <si>
    <t xml:space="preserve">Key Data Source</t>
  </si>
  <si>
    <t xml:space="preserve">Underwriting Action</t>
  </si>
  <si>
    <t xml:space="preserve">▌  BATTERY RISKS</t>
  </si>
  <si>
    <t xml:space="preserve">Thermal Runaway — NMC/NCA Chemistry</t>
  </si>
  <si>
    <t xml:space="preserve">Battery</t>
  </si>
  <si>
    <t xml:space="preserve">NMC/NCA cells release ~300 kJ/Ah on failure vs 180 kJ/Ah for LFP; higher fire intensity and propagation risk</t>
  </si>
  <si>
    <t xml:space="preserve">CRITICAL</t>
  </si>
  <si>
    <t xml:space="preserve">30–45%</t>
  </si>
  <si>
    <t xml:space="preserve">NFPA 855; NHTSA SGO 2021-01; Week 2 Memo S2</t>
  </si>
  <si>
    <t xml:space="preserve">Apply NMC/NCA surcharge; require fire suppression cert for garages</t>
  </si>
  <si>
    <t xml:space="preserve">Thermal Runaway — LFP Chemistry</t>
  </si>
  <si>
    <t xml:space="preserve">LFP thermal onset at 270°C vs 210°C (NMC); significantly lower fire propagation probability</t>
  </si>
  <si>
    <t xml:space="preserve">MEDIUM</t>
  </si>
  <si>
    <t xml:space="preserve">10–18%</t>
  </si>
  <si>
    <t xml:space="preserve">NFPA 855; BYD Atto 3 spec sheet; Week 2 Memo S1</t>
  </si>
  <si>
    <t xml:space="preserve">Base loading; LFP discount vs NMC baseline</t>
  </si>
  <si>
    <t xml:space="preserve">Battery Degradation &amp; Capacity Loss</t>
  </si>
  <si>
    <t xml:space="preserve">LFP retains ~80% capacity at 150k km; NMC degrades faster above 80% SOC charging patterns</t>
  </si>
  <si>
    <t xml:space="preserve">8–15%</t>
  </si>
  <si>
    <t xml:space="preserve">MIT Battery Lab 2023; Tesla Battery Report 2024</t>
  </si>
  <si>
    <t xml:space="preserve">Require annual battery health cert after Year 3; tie residual value clause to SoH%</t>
  </si>
  <si>
    <t xml:space="preserve">Battery Management System (BMS) Failure</t>
  </si>
  <si>
    <t xml:space="preserve">BMS failure can allow overcharge, cell imbalance, and undetected thermal event; silent failure mode</t>
  </si>
  <si>
    <t xml:space="preserve">HIGH</t>
  </si>
  <si>
    <t xml:space="preserve">15–25%</t>
  </si>
  <si>
    <t xml:space="preserve">NHTSA complaints EV database; OEM recall notices</t>
  </si>
  <si>
    <t xml:space="preserve">Exclusion clause for non-OEM BMS modifications; require OTA update compliance</t>
  </si>
  <si>
    <t xml:space="preserve">Battery Flood / Water Ingress</t>
  </si>
  <si>
    <t xml:space="preserve">Malaysia's monsoon season creates elevated flood risk; saltwater ingress causes short circuit and delayed thermal events</t>
  </si>
  <si>
    <t xml:space="preserve">20–30%</t>
  </si>
  <si>
    <t xml:space="preserve">PICC China flood data 2020; Malaysia flood statistics JPJ</t>
  </si>
  <si>
    <t xml:space="preserve">Flood zone surcharge; require IP67/IP68 battery enclosure certification</t>
  </si>
  <si>
    <t xml:space="preserve">High-Voltage Cable Arc / Short Circuit</t>
  </si>
  <si>
    <t xml:space="preserve">400V–800V HV systems create arc flash risk during collision or workshop access; Malaysia workshop readiness low</t>
  </si>
  <si>
    <t xml:space="preserve">12–20%</t>
  </si>
  <si>
    <t xml:space="preserve">NFPA 70E; NHTSA SGO crash data; Week 2 Memo S4</t>
  </si>
  <si>
    <t xml:space="preserve">Certified EV workshop requirement; higher labour rate allowance in repair estimate</t>
  </si>
  <si>
    <t xml:space="preserve">Battery Pack Replacement Cost</t>
  </si>
  <si>
    <t xml:space="preserve">BYD Atto 3: RM 45–65k; Tesla Model 3: RM 55–90k replacement cost — major total loss driver below 5 years</t>
  </si>
  <si>
    <t xml:space="preserve">25–35%</t>
  </si>
  <si>
    <t xml:space="preserve">AUS workshop quotes converted BNM mid-rate; Mitchell Intl 2023; Week 2 Memo S6</t>
  </si>
  <si>
    <t xml:space="preserve">Sum insured must reflect current battery replacement cost; annual revaluation clause</t>
  </si>
  <si>
    <t xml:space="preserve">▌  ADAS RISKS</t>
  </si>
  <si>
    <t xml:space="preserve">ADAS Level 2 — Partial Automation (Tesla Autopilot)</t>
  </si>
  <si>
    <t xml:space="preserve">ADAS</t>
  </si>
  <si>
    <t xml:space="preserve">Driver must remain attentive but system actively controls speed + steering; hands-off complacency documented</t>
  </si>
  <si>
    <t xml:space="preserve">18–28%</t>
  </si>
  <si>
    <t xml:space="preserve">NHTSA SGO: 14,000+ Autopilot crashes 2018–2023; LexisNexis ADAS Study 2024</t>
  </si>
  <si>
    <t xml:space="preserve">ADAS Level 2 premium surcharge; require telematics; exclude full liability transfer to manufacturer</t>
  </si>
  <si>
    <t xml:space="preserve">ADAS Level 2 — BYD DiPilot</t>
  </si>
  <si>
    <t xml:space="preserve">BYD DiPilot active on Malaysian roads; less crash data available; MIIT data shows lower incident rate vs Tesla</t>
  </si>
  <si>
    <t xml:space="preserve">MIIT China NEV incident database; BYD DiPilot spec sheet</t>
  </si>
  <si>
    <t xml:space="preserve">Moderate surcharge; gather usage data via telematics if available</t>
  </si>
  <si>
    <t xml:space="preserve">ADAS Level 1 — Driver Assistance Features</t>
  </si>
  <si>
    <t xml:space="preserve">AEB, LKA, adaptive cruise — well-studied; net safety benefit documented but introduces new repair cost (sensor replacement)</t>
  </si>
  <si>
    <t xml:space="preserve">LOW</t>
  </si>
  <si>
    <t xml:space="preserve">3–8%</t>
  </si>
  <si>
    <t xml:space="preserve">Euro NCAP ADAS; Thatcham Research UK; Mitchell Intl repair cost</t>
  </si>
  <si>
    <t xml:space="preserve">Minor loading for sensor repair cost; potential safety discount if AEB confirmed active</t>
  </si>
  <si>
    <t xml:space="preserve">OTA Software Update Risk</t>
  </si>
  <si>
    <t xml:space="preserve">Over-the-air updates can alter ADAS behaviour, braking parameters, and speed limits without driver awareness</t>
  </si>
  <si>
    <t xml:space="preserve">NHTSA OTA recall database; Tesla recall 2022 phantom braking</t>
  </si>
  <si>
    <t xml:space="preserve">Policy clause requiring insured to maintain current OTA version; exclude liability for known unpatched versions</t>
  </si>
  <si>
    <t xml:space="preserve">Sensor Failure — Camera / Radar / LiDAR</t>
  </si>
  <si>
    <t xml:space="preserve">Sensor contamination (dust, rain, fogging) degrades ADAS accuracy; Malaysia's tropical climate is adverse</t>
  </si>
  <si>
    <t xml:space="preserve">8–14%</t>
  </si>
  <si>
    <t xml:space="preserve">NHTSA complaints dataset; SAE J3016 sensor degradation notes</t>
  </si>
  <si>
    <t xml:space="preserve">Require annual ADAS sensor calibration cert; surcharge for vehicles &gt;3 years without recalibration</t>
  </si>
  <si>
    <t xml:space="preserve">▌  REPAIR COST RISKS</t>
  </si>
  <si>
    <t xml:space="preserve">EV Repair Cost Premium vs ICE</t>
  </si>
  <si>
    <t xml:space="preserve">Repair Cost</t>
  </si>
  <si>
    <t xml:space="preserve">UK data: EV repair 25–32% more expensive than equivalent ICE; higher parts cost, low workshop availability in Malaysia</t>
  </si>
  <si>
    <t xml:space="preserve">Mitchell Intl EV Repair Cost Survey Q2 2025; AXA UK EV claims data</t>
  </si>
  <si>
    <t xml:space="preserve">Apply 25–30% repair cost uplift factor to EV sum insured baseline</t>
  </si>
  <si>
    <t xml:space="preserve">Write-off Rate — EV vs ICE</t>
  </si>
  <si>
    <t xml:space="preserve">UK: EV write-off rate 3–4 ppt higher than ICE; minor structural damage often uneconomical to repair due to integrated battery</t>
  </si>
  <si>
    <t xml:space="preserve">Aviva UK EV portfolio 2023; Thatcham Research write-off study</t>
  </si>
  <si>
    <t xml:space="preserve">Lower economic total loss threshold for EVs (e.g., 60% repair-to-value vs 70% for ICE)</t>
  </si>
  <si>
    <t xml:space="preserve">Specialist Workshop Scarcity — Malaysia</t>
  </si>
  <si>
    <t xml:space="preserve">Malaysia has &lt;50 certified EV workshops nationally vs 3,000+ for ICE; repair delays and elevated labour costs</t>
  </si>
  <si>
    <t xml:space="preserve">15–22%</t>
  </si>
  <si>
    <t xml:space="preserve">JPJ workshop data 2024; PIAM industry consultation</t>
  </si>
  <si>
    <t xml:space="preserve">Approved repairer list required; allow remote workshop for non-HV repairs; surcharge for vehicles outside Klang Valley</t>
  </si>
  <si>
    <t xml:space="preserve">Parts Availability &amp; Supply Chain</t>
  </si>
  <si>
    <t xml:space="preserve">BYD parts import from China subject to 4–6 week lead time; Tesla parts from Singapore warehouse; delays drive storage costs</t>
  </si>
  <si>
    <t xml:space="preserve">OEM dealer surveys; Mitchell Intl parts pricing database</t>
  </si>
  <si>
    <t xml:space="preserve">Storage and courtesy vehicle extension clause; parts cost contingency in claim reserve</t>
  </si>
  <si>
    <t xml:space="preserve">HV Battery Handling Safety in Workshop</t>
  </si>
  <si>
    <t xml:space="preserve">Crash-damaged HV battery cannot be transported by standard recovery; specialist HV recovery adds RM 3,000–8,000 per event</t>
  </si>
  <si>
    <t xml:space="preserve">NFPA 855 recovery protocols; BOMBA Malaysia guidance 2023</t>
  </si>
  <si>
    <t xml:space="preserve">HV recovery cost sub-limit in policy; approved recovery agent requirement</t>
  </si>
  <si>
    <t xml:space="preserve">▌  RESIDUAL VALUE RISKS</t>
  </si>
  <si>
    <t xml:space="preserve">EV Residual Value Uncertainty — Malaysia</t>
  </si>
  <si>
    <t xml:space="preserve">Residual Value</t>
  </si>
  <si>
    <t xml:space="preserve">Malaysian EV secondhand market nascent (&lt;2 years of resale data); significant residual value uncertainty</t>
  </si>
  <si>
    <t xml:space="preserve">CarSome EV listing data 2025; Mudah.my EV price tracker</t>
  </si>
  <si>
    <t xml:space="preserve">Agreed value policy preferred over market value; annual revaluation rider recommended</t>
  </si>
  <si>
    <t xml:space="preserve">Battery Health Impact on Resale Value</t>
  </si>
  <si>
    <t xml:space="preserve">Battery at 70% SoH can reduce resale value by 30–40%; unclear disclosure standards in Malaysia</t>
  </si>
  <si>
    <t xml:space="preserve">Recurrent Auto battery degradation study 2024; CarGurus EV value tracker</t>
  </si>
  <si>
    <t xml:space="preserve">Battery SoH disclosure requirement at point of transfer; SoH-linked agreed value adjustment</t>
  </si>
  <si>
    <t xml:space="preserve">Technology Obsolescence Risk</t>
  </si>
  <si>
    <t xml:space="preserve">Rapid EV technology advancement (800V platforms, solid-state batteries) accelerates older model depreciation</t>
  </si>
  <si>
    <t xml:space="preserve">BloombergNEF EV outlook 2025; BNEF battery cost forecasts</t>
  </si>
  <si>
    <t xml:space="preserve">Shorter agreed-value review cycle (annual vs biennial for ICE)</t>
  </si>
  <si>
    <t xml:space="preserve">Government Subsidy/Incentive Withdrawal Risk</t>
  </si>
  <si>
    <t xml:space="preserve">Malaysia EV exemptions (import duty, excise) set to expire 2025–2027; removal would sharply reduce EV resale values</t>
  </si>
  <si>
    <t xml:space="preserve">Malaysia Budget 2024; MITI EV incentive policy; JPJ registration trends</t>
  </si>
  <si>
    <t xml:space="preserve">Monitor policy changes; quarterly residual value model update; sunset clause in agreed value policies</t>
  </si>
  <si>
    <t xml:space="preserve">▌  INFRASTRUCTURE RISKS</t>
  </si>
  <si>
    <t xml:space="preserve">Home Charging Installation Risk</t>
  </si>
  <si>
    <t xml:space="preserve">Infrastructure</t>
  </si>
  <si>
    <t xml:space="preserve">Non-standard wallbox installation creates electrical fault, fire, and property damage exposure; Malaysia has no mandatory cert</t>
  </si>
  <si>
    <t xml:space="preserve">NFPA EV fire guidance; UK EV charge point regulations; ST Engineering survey MY 2024</t>
  </si>
  <si>
    <t xml:space="preserve">Require certified home charger installation as policy condition; property damage extension for charging incidents</t>
  </si>
  <si>
    <t xml:space="preserve">Public Charging Network Reliability</t>
  </si>
  <si>
    <t xml:space="preserve">Malaysia public charger uptime ~72% (ChargEV/TNB data); stranded EV risk creates recovery and breakdown liability</t>
  </si>
  <si>
    <t xml:space="preserve">5–10%</t>
  </si>
  <si>
    <t xml:space="preserve">ChargEV network data 2024; Gentari/JomCharge operational reports</t>
  </si>
  <si>
    <t xml:space="preserve">Include EV-specific breakdown assist with flatbed recovery; exclude charge-network provider liability</t>
  </si>
  <si>
    <t xml:space="preserve">Overcharging / Uncontrolled Charging Event</t>
  </si>
  <si>
    <t xml:space="preserve">Third-party AC charger without BMS handshake can bypass charge limits; elevated fire risk at public or non-OEM chargers</t>
  </si>
  <si>
    <t xml:space="preserve">NHTSA EV complaints 2022–2024; IEC 61851 charger standard</t>
  </si>
  <si>
    <t xml:space="preserve">Non-OEM charger exclusion considered; mandatory OCPP-compliant charger clause</t>
  </si>
  <si>
    <t xml:space="preserve">Grid Instability &amp; Power Surge</t>
  </si>
  <si>
    <t xml:space="preserve">Malaysian grid voltage fluctuations (TNB Peninsular 240V ±6%) can damage onboard charger and battery pack</t>
  </si>
  <si>
    <t xml:space="preserve">TNB grid quality report 2023; IEC 61000-4-11</t>
  </si>
  <si>
    <t xml:space="preserve">Surge protection rider; require Type 2 certified EVSE with surge protection</t>
  </si>
  <si>
    <t xml:space="preserve">▌  ENVIRONMENTAL RISKS</t>
  </si>
  <si>
    <t xml:space="preserve">Tropical Heat — Ambient Temperature Impact</t>
  </si>
  <si>
    <t xml:space="preserve">Environmental</t>
  </si>
  <si>
    <t xml:space="preserve">Malaysia ambient 28–38°C accelerates Li-ion degradation; thermal management system works harder, shortening pack life</t>
  </si>
  <si>
    <t xml:space="preserve">Argonne National Lab thermal study 2023; BYD Malaysia adaptation data</t>
  </si>
  <si>
    <t xml:space="preserve">Tropical climate loading for NMC/NCA packs; LFP discount for better heat tolerance</t>
  </si>
  <si>
    <t xml:space="preserve">Monsoon Flood — Vehicle Total Loss</t>
  </si>
  <si>
    <t xml:space="preserve">Klang Valley/Penang flood events 2021–2024 caused significant EV total losses; saltwater damage is non-repairable</t>
  </si>
  <si>
    <t xml:space="preserve">25–40%</t>
  </si>
  <si>
    <t xml:space="preserve">JPS flood hazard map; PIAM claims data 2022; Week 2 Memo S5</t>
  </si>
  <si>
    <t xml:space="preserve">Flood zone surcharge 15–25%; low-lying postcode rating factor; waterproof rating (IP67+) discount</t>
  </si>
  <si>
    <t xml:space="preserve">UV &amp; Humidity — Exterior Sensor Degradation</t>
  </si>
  <si>
    <t xml:space="preserve">High UV index and humidity in Malaysia accelerate LIDAR/camera housing degradation, increasing false-positive ADAS events</t>
  </si>
  <si>
    <t xml:space="preserve">SAE J3016 environmental operating notes; Toyota ADAS field study SEA 2023</t>
  </si>
  <si>
    <t xml:space="preserve">Annual sensor inspection requirement in tropically-sold ADAS vehicles</t>
  </si>
  <si>
    <t xml:space="preserve">Lightning Strike Risk</t>
  </si>
  <si>
    <t xml:space="preserve">Malaysia has one of the highest lightning flash densities globally; elevated risk to charging infrastructure and onboard electronics</t>
  </si>
  <si>
    <t xml:space="preserve">MMD Malaysia lightning data; IEC 62305 lightning protection standard</t>
  </si>
  <si>
    <t xml:space="preserve">Electrical surge endorsement; lightning exclusion carve-back for OEM-certified surge protection</t>
  </si>
  <si>
    <t xml:space="preserve">Urban Air Pollution — Particulate Ingress</t>
  </si>
  <si>
    <t xml:space="preserve">KL/Penang air quality events; particulates enter cooling vents and degrade battery thermal management system efficiency</t>
  </si>
  <si>
    <t xml:space="preserve">DOE Malaysia air quality index; OEM battery cooling system specs</t>
  </si>
  <si>
    <t xml:space="preserve">Note for future modelling; minor loading in heavy industrial zone postcodes</t>
  </si>
  <si>
    <t xml:space="preserve">Commercial vs Personal Use Misclassification</t>
  </si>
  <si>
    <t xml:space="preserve">EVs used for e-hailing (Grab) or delivery at higher risk than declared personal use; odometer 3–5× higher</t>
  </si>
  <si>
    <t xml:space="preserve">20–35%</t>
  </si>
  <si>
    <t xml:space="preserve">China PICC commercial-vs-personal actuarial split; PIAM class of use definitions</t>
  </si>
  <si>
    <t xml:space="preserve">Telematics-based usage verification; e-hailing endorsement with additional loading</t>
  </si>
  <si>
    <t xml:space="preserve">Data Privacy / Telematics Liability</t>
  </si>
  <si>
    <t xml:space="preserve">Tesla, BYD collect driving data; potential privacy liability for insurer if telematics data shared without consent</t>
  </si>
  <si>
    <t xml:space="preserve">PDPA Malaysia 2010; GDPR precedent; Tesla data policy 2024</t>
  </si>
  <si>
    <t xml:space="preserve">Telematics consent clause; data retention limits; PDPA-compliant data handling policy</t>
  </si>
  <si>
    <t xml:space="preserve">EV Recall / OEM Liability Uncertainty</t>
  </si>
  <si>
    <t xml:space="preserve">OEM recalls (e.g., Chevy Bolt 2021, Hyundai 2022) create total replacement liability; Malaysia recall mechanism immature</t>
  </si>
  <si>
    <t xml:space="preserve">NHTSA recall database; JPJ recall register; MITI product liability framework</t>
  </si>
  <si>
    <t xml:space="preserve">OEM recall clause — insurer first-party recovery mechanism from OEM via subrogation</t>
  </si>
  <si>
    <t xml:space="preserve">Sources: NHTSA SGO 2021-01 | NFPA 855 | Mitchell International EV Repair Cost Survey Q2 2025 | LexisNexis ADAS Study 2024 | China Association of Actuaries NEV Report 2025 | AXA/Aviva UK EV Portfolio Data | JPJ Malaysia EV Registration Statistics 2021–2025 | BYD Atto 3 &amp; Tesla Model 3 Spec Sheets | BloombergNEF EV Outlook 2025 | Week 2 Technical Memo (GroupB)</t>
  </si>
  <si>
    <t xml:space="preserve">RISK SUMMARY DASHBOARD  |  Group B EV Insurance  |  Week 3</t>
  </si>
  <si>
    <t xml:space="preserve">RISK DISTRIBUTION BY CATEGORY</t>
  </si>
  <si>
    <t xml:space="preserve">Total Factors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</si>
  <si>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</si>
  <si>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</si>
  <si>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</si>
  <si>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</si>
  <si>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</si>
  <si>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AVERAGE RISK SCORE &amp; LOADING BY CATEGORY</t>
  </si>
  <si>
    <t xml:space="preserve">Avg Risk Score</t>
  </si>
  <si>
    <t xml:space="preserve">Max Score</t>
  </si>
  <si>
    <t xml:space="preserve"># Factors</t>
  </si>
  <si>
    <t xml:space="preserve">Avg Loading (mid %)</t>
  </si>
  <si>
    <t xml:space="preserve">Priority Rank</t>
  </si>
  <si>
    <t xml:space="preserve">17.7%</t>
  </si>
  <si>
    <t xml:space="preserve">21.2%</t>
  </si>
  <si>
    <t xml:space="preserve">15.4%</t>
  </si>
  <si>
    <t xml:space="preserve">14.2%</t>
  </si>
  <si>
    <t xml:space="preserve">14.3%</t>
  </si>
  <si>
    <t xml:space="preserve">11.8%</t>
  </si>
  <si>
    <t xml:space="preserve">KEY FINDINGS &amp; UNDERWRITING RECOMMENDATIONS</t>
  </si>
  <si>
    <t xml:space="preserve">  ▌  Finding 1: Flood + Battery Chemistry is the #1 CRITICAL combination</t>
  </si>
  <si>
    <t xml:space="preserve">     Monsoon flood × NMC/NCA battery scores 20 on the risk matrix. Malaysia's geography makes this the single largest underwriting concern for EVs purchased in Klang Valley, Penang, and Johor coastal areas.</t>
  </si>
  <si>
    <t xml:space="preserve">  ▌  Finding 2: Battery replacement cost alone justifies sum insured review</t>
  </si>
  <si>
    <t xml:space="preserve">     BYD Atto 3 battery replacement at RM 45–65k represents 30–44% of vehicle value. Standard sum-insured processes for ICE vehicles will chronically under-insure EV fleets without annual revaluation.</t>
  </si>
  <si>
    <t xml:space="preserve">  ▌  Finding 3: ADAS Level 2 surcharge is non-negotiable for Tesla policies</t>
  </si>
  <si>
    <t xml:space="preserve">     NHTSA SGO data shows 14,000+ Level 2 related crashes. Autopilot complacency is well-documented. Any Tesla Model 3 policy without an ADAS L2 premium surcharge is materially under-priced.</t>
  </si>
  <si>
    <t xml:space="preserve">  ▌  Finding 4: Malaysian workshop scarcity creates a systemic repair cost floor</t>
  </si>
  <si>
    <t xml:space="preserve">     With &lt;50 certified EV workshops nationally, repair cost uplift of 25–32% over ICE equivalent (UK benchmark) is conservative for Malaysia. Approved repairer lists are essential from Day 1.</t>
  </si>
  <si>
    <t xml:space="preserve">  ▌  Finding 5: Government incentive expiry is a residual value time bomb</t>
  </si>
  <si>
    <t xml:space="preserve">     Malaysia EV exemptions expire 2025–2027. A vehicle insured today at RM 150k agreed value could have a market value of RM 90k post-exemption removal. Agreed value policies need sunset review clauses.</t>
  </si>
  <si>
    <t xml:space="preserve">MALAYSIAN EV INSURANCE PRICING BENCHMARK  |  Group B  |  Week 3 Research</t>
  </si>
  <si>
    <t xml:space="preserve">Sources: Allianz Malaysia website (June 2026) | Etiqa Motor EV page | MSIG Motor product sheet | PolicyStreet.my EV comparison | PhilBrokers industry data | Global benchmarks: AXA UK, Tesla Insurance US, PICC China</t>
  </si>
  <si>
    <t xml:space="preserve">SECTION A — CURRENT MALAYSIAN EV INSURANCE PREMIUM ESTIMATES (BYD Atto 3, RM 149,800 Sum Insured)</t>
  </si>
  <si>
    <t xml:space="preserve">Insurer</t>
  </si>
  <si>
    <t xml:space="preserve">Est. Annual Premium
(Comprehensive)</t>
  </si>
  <si>
    <t xml:space="preserve">EV vs ICE
Premium Difference</t>
  </si>
  <si>
    <t xml:space="preserve">Battery
Coverage</t>
  </si>
  <si>
    <t xml:space="preserve">ADAS
Recognition</t>
  </si>
  <si>
    <t xml:space="preserve">Flood
Coverage</t>
  </si>
  <si>
    <t xml:space="preserve">Notes / Gaps Identified</t>
  </si>
  <si>
    <t xml:space="preserve">Allianz Malaysia</t>
  </si>
  <si>
    <t xml:space="preserve">RM 3,200–4,100</t>
  </si>
  <si>
    <t xml:space="preserve">+15–20% vs ICE equivalent</t>
  </si>
  <si>
    <t xml:space="preserve">Fire/explosion only — no standalone battery replacement</t>
  </si>
  <si>
    <t xml:space="preserve">None (no ADAS discount/surcharge)</t>
  </si>
  <si>
    <t xml:space="preserve">Standard MY flood add-on</t>
  </si>
  <si>
    <t xml:space="preserve">No EV-specific product; standard motor policy extended. Battery replacement not covered unless total loss. Major gap.</t>
  </si>
  <si>
    <t xml:space="preserve">Etiqa (Takaful)</t>
  </si>
  <si>
    <t xml:space="preserve">RM 2,900–3,800</t>
  </si>
  <si>
    <t xml:space="preserve">+10–18% vs ICE equivalent</t>
  </si>
  <si>
    <t xml:space="preserve">Total loss only — battery included in SI</t>
  </si>
  <si>
    <t xml:space="preserve">None</t>
  </si>
  <si>
    <t xml:space="preserve">Standard flood extension</t>
  </si>
  <si>
    <t xml:space="preserve">Takaful product has lower loading but same coverage gaps. No BMS/OTA clause. Affordable but undercovers battery risk.</t>
  </si>
  <si>
    <t xml:space="preserve">MSIG Malaysia</t>
  </si>
  <si>
    <t xml:space="preserve">RM 3,400–4,500</t>
  </si>
  <si>
    <t xml:space="preserve">+18–25% vs ICE equivalent</t>
  </si>
  <si>
    <t xml:space="preserve">Partial — HV component coverage available as add-on (est. +RM 300–500/year)</t>
  </si>
  <si>
    <t xml:space="preserve">Standard flood add-on</t>
  </si>
  <si>
    <t xml:space="preserve">Most advanced domestic product. HV component rider is a step forward but not yet actuarially priced for Malaysia EV risk.</t>
  </si>
  <si>
    <t xml:space="preserve">Zurich Malaysia</t>
  </si>
  <si>
    <t xml:space="preserve">RM 3,100–4,200</t>
  </si>
  <si>
    <t xml:space="preserve">+12–22% vs ICE equivalent</t>
  </si>
  <si>
    <t xml:space="preserve">Aligned to MSIG — total loss + optional HV rider</t>
  </si>
  <si>
    <t xml:space="preserve">Flood included in comprehensive</t>
  </si>
  <si>
    <t xml:space="preserve">Strong reinsurance backing (Zurich global). Data from PolicyStreet comparison. EV product under development per industry reports.</t>
  </si>
  <si>
    <t xml:space="preserve">AXA Affin</t>
  </si>
  <si>
    <t xml:space="preserve">RM 3,000–3,900</t>
  </si>
  <si>
    <t xml:space="preserve">Total loss only</t>
  </si>
  <si>
    <t xml:space="preserve">Standard</t>
  </si>
  <si>
    <t xml:space="preserve">Parent AXA UK has mature EV product (25–32% repair uplift built in). Malaysian subsidiary has not localised EV product. Gap.</t>
  </si>
  <si>
    <t xml:space="preserve">SECTION B — GLOBAL BENCHMARK COMPARISON (Reference Markets)</t>
  </si>
  <si>
    <t xml:space="preserve">Market / Insurer</t>
  </si>
  <si>
    <t xml:space="preserve">EV Premium
Premium vs ICE</t>
  </si>
  <si>
    <t xml:space="preserve">Write-off Rate
Difference</t>
  </si>
  <si>
    <t xml:space="preserve">Battery Coverage</t>
  </si>
  <si>
    <t xml:space="preserve">ADAS Discount/Surcharge</t>
  </si>
  <si>
    <t xml:space="preserve">Key Innovation</t>
  </si>
  <si>
    <t xml:space="preserve">Applicability to Malaysia</t>
  </si>
  <si>
    <t xml:space="preserve">AXA UK</t>
  </si>
  <si>
    <t xml:space="preserve">+25–32%</t>
  </si>
  <si>
    <t xml:space="preserve">+3–4 ppt higher</t>
  </si>
  <si>
    <t xml:space="preserve">Repair + replacement; HV tech included</t>
  </si>
  <si>
    <t xml:space="preserve">LKA/AEB safety discount 3–7%</t>
  </si>
  <si>
    <t xml:space="preserve">EV-specific repair network; approved EV workshops</t>
  </si>
  <si>
    <t xml:space="preserve">HIGH — direct template for Malaysian market adaptation</t>
  </si>
  <si>
    <t xml:space="preserve">Admiral UK</t>
  </si>
  <si>
    <t xml:space="preserve">+22–28%</t>
  </si>
  <si>
    <t xml:space="preserve">+2–3 ppt higher</t>
  </si>
  <si>
    <t xml:space="preserve">Comprehensive; no battery sub-limit</t>
  </si>
  <si>
    <t xml:space="preserve">Telematics-based ADAS discount</t>
  </si>
  <si>
    <t xml:space="preserve">Black-box UBI pricing for EV (per-km)</t>
  </si>
  <si>
    <t xml:space="preserve">MEDIUM — UBI model possible with TM/Celcom partnership</t>
  </si>
  <si>
    <t xml:space="preserve">Tesla Insurance (US)</t>
  </si>
  <si>
    <t xml:space="preserve">Variable (Safety Score)</t>
  </si>
  <si>
    <t xml:space="preserve">N/A — real-time</t>
  </si>
  <si>
    <t xml:space="preserve">Full battery replacement included</t>
  </si>
  <si>
    <t xml:space="preserve">Safety Score drives premium (0.5–1.5×)</t>
  </si>
  <si>
    <t xml:space="preserve">Real-time driving data pricing; sub-weekly premium adjustment</t>
  </si>
  <si>
    <t xml:space="preserve">LOW short-term (regulatory); HIGH long-term signal</t>
  </si>
  <si>
    <t xml:space="preserve">PICC China</t>
  </si>
  <si>
    <t xml:space="preserve">+20–100% commercial</t>
  </si>
  <si>
    <t xml:space="preserve">Data not public</t>
  </si>
  <si>
    <t xml:space="preserve">Full replacement; commercial-vs-private mandatory split</t>
  </si>
  <si>
    <t xml:space="preserve">MIIT-mandated ADAS data sharing</t>
  </si>
  <si>
    <t xml:space="preserve">Mandatory battery SoH reporting; no SoH = no renewal</t>
  </si>
  <si>
    <t xml:space="preserve">HIGH — BYD/SAIC model directly applicable to MY BYD Atto 3</t>
  </si>
  <si>
    <t xml:space="preserve">Ping An China</t>
  </si>
  <si>
    <t xml:space="preserve">+15–50%</t>
  </si>
  <si>
    <t xml:space="preserve">N/A</t>
  </si>
  <si>
    <t xml:space="preserve">Battery degradation rider available</t>
  </si>
  <si>
    <t xml:space="preserve">AI dash-cam score pricing</t>
  </si>
  <si>
    <t xml:space="preserve">AI-based claims fraud detection; 80% claims automation</t>
  </si>
  <si>
    <t xml:space="preserve">MEDIUM — technology transfer possible via Allianz/AXA MY partnerships</t>
  </si>
  <si>
    <t xml:space="preserve">SECTION C — MALAYSIA COVERAGE GAP ANALYSIS</t>
  </si>
  <si>
    <t xml:space="preserve">Gap Area</t>
  </si>
  <si>
    <t xml:space="preserve">Current MY Practice</t>
  </si>
  <si>
    <t xml:space="preserve">Global Best Practice</t>
  </si>
  <si>
    <t xml:space="preserve">Risk Exposed</t>
  </si>
  <si>
    <t xml:space="preserve">Recommended Product Enhancement</t>
  </si>
  <si>
    <t xml:space="preserve">Priority</t>
  </si>
  <si>
    <t xml:space="preserve">Week 4 Data Needed</t>
  </si>
  <si>
    <t xml:space="preserve">Battery Replacement Coverage</t>
  </si>
  <si>
    <t xml:space="preserve">Total loss only; no standalone battery cover</t>
  </si>
  <si>
    <t xml:space="preserve">Full replacement rider (AXA UK, PICC China)</t>
  </si>
  <si>
    <t xml:space="preserve">Insurer under-reserves; policyholder under-compensated</t>
  </si>
  <si>
    <t xml:space="preserve">Introduce battery replacement rider at +RM 350–600/year</t>
  </si>
  <si>
    <t xml:space="preserve">Average battery replacement cost data — MY workshop survey</t>
  </si>
  <si>
    <t xml:space="preserve">ADAS Risk Pricing</t>
  </si>
  <si>
    <t xml:space="preserve">No ADAS recognition in premium</t>
  </si>
  <si>
    <t xml:space="preserve">Level-based surcharge/discount (LexisNexis, AXA UK)</t>
  </si>
  <si>
    <t xml:space="preserve">L2 ADAS vehicles mispriced vs risk</t>
  </si>
  <si>
    <t xml:space="preserve">ADAS endorsement: Level 2 +12–20%; Level 1 AEB discount 5%</t>
  </si>
  <si>
    <t xml:space="preserve">NHTSA SGO data cross-referenced to MY ADAS adoption rate</t>
  </si>
  <si>
    <t xml:space="preserve">Flood Zone Rating</t>
  </si>
  <si>
    <t xml:space="preserve">Standard flood add-on; no postcode rating</t>
  </si>
  <si>
    <t xml:space="preserve">Postcode flood risk factor (AXA UK, PICC China)</t>
  </si>
  <si>
    <t xml:space="preserve">Klang Valley/Penang high-risk EV charging environments underrated</t>
  </si>
  <si>
    <t xml:space="preserve">Flood zone rating factor; IP67+ battery cert discount</t>
  </si>
  <si>
    <t xml:space="preserve">JPS flood hazard map postcode overlay</t>
  </si>
  <si>
    <t xml:space="preserve">Agreed Value Revaluation</t>
  </si>
  <si>
    <t xml:space="preserve">One-time agreed value; no review</t>
  </si>
  <si>
    <t xml:space="preserve">Annual revaluation with EV depreciation curve (PICC)</t>
  </si>
  <si>
    <t xml:space="preserve">Over-insurance in Year 1; under-insurance in Year 3+</t>
  </si>
  <si>
    <t xml:space="preserve">Mandatory annual agreed value review; sunset clause for incentive expiry</t>
  </si>
  <si>
    <t xml:space="preserve">CarSome/Mudah EV resale price time series 2023–2026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</si>
</sst>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595959"/>
      <name val="Arial"/>
      <family val="0"/>
      <charset val="1"/>
    </font>
    <font>
      <sz val="9.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.5"/>
      <color rgb="FF2E75B6"/>
      <name val="Arial"/>
      <family val="0"/>
      <charset val="1"/>
    </font>
    <font>
      <b val="true"/>
      <sz val="9.5"/>
      <color rgb="FF7F6000"/>
      <name val="Arial"/>
      <family val="0"/>
      <charset val="1"/>
    </font>
    <font>
      <b val="true"/>
      <sz val="9.5"/>
      <color rgb="FF833C00"/>
      <name val="Arial"/>
      <family val="0"/>
      <charset val="1"/>
    </font>
    <font>
      <b val="true"/>
      <sz val="9.5"/>
      <color rgb="FF375623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.5"/>
      <name val="Arial"/>
      <family val="0"/>
      <charset val="1"/>
    </font>
    <font>
      <sz val="9.5"/>
      <color rgb="FFC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FFD7D7"/>
        <bgColor rgb="FFFCE4D6"/>
      </patternFill>
    </fill>
    <fill>
      <patternFill patternType="solid">
        <fgColor rgb="FFFCE4D6"/>
        <bgColor rgb="FFFFD7D7"/>
      </patternFill>
    </fill>
    <fill>
      <patternFill patternType="solid">
        <fgColor rgb="FFDDEBF7"/>
        <bgColor rgb="FFD6E4F0"/>
      </patternFill>
    </fill>
    <fill>
      <patternFill patternType="solid">
        <fgColor rgb="FFE2EFDA"/>
        <bgColor rgb="FFDDEBF7"/>
      </patternFill>
    </fill>
    <fill>
      <patternFill patternType="solid">
        <fgColor rgb="FFC55A11"/>
        <bgColor rgb="FF7F6000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F5F5F5"/>
      </patternFill>
    </fill>
    <fill>
      <patternFill patternType="solid">
        <fgColor rgb="FF1F4E79"/>
        <bgColor rgb="FF1F3864"/>
      </patternFill>
    </fill>
    <fill>
      <patternFill patternType="solid">
        <fgColor rgb="FFEAF0FB"/>
        <bgColor rgb="FFEBF3FB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5F5F5"/>
      </patternFill>
    </fill>
    <fill>
      <patternFill patternType="solid">
        <fgColor rgb="FFEBF3FB"/>
        <bgColor rgb="FFEAF0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EAF0FB"/>
      <rgbColor rgb="FFF2F2F2"/>
      <rgbColor rgb="FFF5F5F5"/>
      <rgbColor rgb="FFFFD7D7"/>
      <rgbColor rgb="FF2E75B6"/>
      <rgbColor rgb="FF33CCCC"/>
      <rgbColor rgb="FF99CC00"/>
      <rgbColor rgb="FFFFC0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8" min="5" style="0" width="14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9.5" hidden="false" customHeight="true" outlineLevel="0" collapsed="false">
      <c r="A5" s="5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49.5" hidden="false" customHeight="true" outlineLevel="0" collapsed="false">
      <c r="A6" s="6" t="n">
        <v>1</v>
      </c>
      <c r="B6" s="7" t="s">
        <v>15</v>
      </c>
      <c r="C6" s="7" t="s">
        <v>16</v>
      </c>
      <c r="D6" s="7" t="s">
        <v>17</v>
      </c>
      <c r="E6" s="8" t="n">
        <v>4</v>
      </c>
      <c r="F6" s="8" t="n">
        <v>5</v>
      </c>
      <c r="G6" s="9" t="n">
        <f aca="false">E6*F6</f>
        <v>20</v>
      </c>
      <c r="H6" s="10" t="s">
        <v>18</v>
      </c>
      <c r="I6" s="11" t="s">
        <v>19</v>
      </c>
      <c r="J6" s="7" t="s">
        <v>20</v>
      </c>
      <c r="K6" s="7" t="s">
        <v>21</v>
      </c>
    </row>
    <row r="7" customFormat="false" ht="49.5" hidden="false" customHeight="true" outlineLevel="0" collapsed="false">
      <c r="A7" s="6" t="n">
        <v>2</v>
      </c>
      <c r="B7" s="7" t="s">
        <v>22</v>
      </c>
      <c r="C7" s="7" t="s">
        <v>16</v>
      </c>
      <c r="D7" s="7" t="s">
        <v>23</v>
      </c>
      <c r="E7" s="8" t="n">
        <v>2</v>
      </c>
      <c r="F7" s="8" t="n">
        <v>4</v>
      </c>
      <c r="G7" s="12" t="n">
        <f aca="false">E7*F7</f>
        <v>8</v>
      </c>
      <c r="H7" s="13" t="s">
        <v>24</v>
      </c>
      <c r="I7" s="11" t="s">
        <v>25</v>
      </c>
      <c r="J7" s="7" t="s">
        <v>26</v>
      </c>
      <c r="K7" s="7" t="s">
        <v>27</v>
      </c>
    </row>
    <row r="8" customFormat="false" ht="49.5" hidden="false" customHeight="true" outlineLevel="0" collapsed="false">
      <c r="A8" s="6" t="n">
        <v>3</v>
      </c>
      <c r="B8" s="7" t="s">
        <v>28</v>
      </c>
      <c r="C8" s="7" t="s">
        <v>16</v>
      </c>
      <c r="D8" s="7" t="s">
        <v>29</v>
      </c>
      <c r="E8" s="8" t="n">
        <v>3</v>
      </c>
      <c r="F8" s="8" t="n">
        <v>3</v>
      </c>
      <c r="G8" s="12" t="n">
        <f aca="false">E8*F8</f>
        <v>9</v>
      </c>
      <c r="H8" s="13" t="s">
        <v>24</v>
      </c>
      <c r="I8" s="11" t="s">
        <v>30</v>
      </c>
      <c r="J8" s="7" t="s">
        <v>31</v>
      </c>
      <c r="K8" s="7" t="s">
        <v>32</v>
      </c>
    </row>
    <row r="9" customFormat="false" ht="49.5" hidden="false" customHeight="true" outlineLevel="0" collapsed="false">
      <c r="A9" s="6" t="n">
        <v>4</v>
      </c>
      <c r="B9" s="7" t="s">
        <v>33</v>
      </c>
      <c r="C9" s="7" t="s">
        <v>16</v>
      </c>
      <c r="D9" s="7" t="s">
        <v>34</v>
      </c>
      <c r="E9" s="8" t="n">
        <v>2</v>
      </c>
      <c r="F9" s="8" t="n">
        <v>5</v>
      </c>
      <c r="G9" s="14" t="n">
        <f aca="false">E9*F9</f>
        <v>10</v>
      </c>
      <c r="H9" s="15" t="s">
        <v>35</v>
      </c>
      <c r="I9" s="11" t="s">
        <v>36</v>
      </c>
      <c r="J9" s="7" t="s">
        <v>37</v>
      </c>
      <c r="K9" s="7" t="s">
        <v>38</v>
      </c>
    </row>
    <row r="10" customFormat="false" ht="49.5" hidden="false" customHeight="true" outlineLevel="0" collapsed="false">
      <c r="A10" s="6" t="n">
        <v>5</v>
      </c>
      <c r="B10" s="7" t="s">
        <v>39</v>
      </c>
      <c r="C10" s="7" t="s">
        <v>16</v>
      </c>
      <c r="D10" s="7" t="s">
        <v>40</v>
      </c>
      <c r="E10" s="8" t="n">
        <v>4</v>
      </c>
      <c r="F10" s="8" t="n">
        <v>4</v>
      </c>
      <c r="G10" s="14" t="n">
        <f aca="false">E10*F10</f>
        <v>16</v>
      </c>
      <c r="H10" s="15" t="s">
        <v>35</v>
      </c>
      <c r="I10" s="11" t="s">
        <v>41</v>
      </c>
      <c r="J10" s="7" t="s">
        <v>42</v>
      </c>
      <c r="K10" s="7" t="s">
        <v>43</v>
      </c>
    </row>
    <row r="11" customFormat="false" ht="49.5" hidden="false" customHeight="true" outlineLevel="0" collapsed="false">
      <c r="A11" s="6" t="n">
        <v>6</v>
      </c>
      <c r="B11" s="7" t="s">
        <v>44</v>
      </c>
      <c r="C11" s="7" t="s">
        <v>16</v>
      </c>
      <c r="D11" s="7" t="s">
        <v>45</v>
      </c>
      <c r="E11" s="8" t="n">
        <v>3</v>
      </c>
      <c r="F11" s="8" t="n">
        <v>4</v>
      </c>
      <c r="G11" s="14" t="n">
        <f aca="false">E11*F11</f>
        <v>12</v>
      </c>
      <c r="H11" s="15" t="s">
        <v>35</v>
      </c>
      <c r="I11" s="11" t="s">
        <v>46</v>
      </c>
      <c r="J11" s="7" t="s">
        <v>47</v>
      </c>
      <c r="K11" s="7" t="s">
        <v>48</v>
      </c>
    </row>
    <row r="12" customFormat="false" ht="49.5" hidden="false" customHeight="true" outlineLevel="0" collapsed="false">
      <c r="A12" s="6" t="n">
        <v>7</v>
      </c>
      <c r="B12" s="7" t="s">
        <v>49</v>
      </c>
      <c r="C12" s="7" t="s">
        <v>16</v>
      </c>
      <c r="D12" s="7" t="s">
        <v>50</v>
      </c>
      <c r="E12" s="8" t="n">
        <v>5</v>
      </c>
      <c r="F12" s="8" t="n">
        <v>4</v>
      </c>
      <c r="G12" s="9" t="n">
        <f aca="false">E12*F12</f>
        <v>20</v>
      </c>
      <c r="H12" s="10" t="s">
        <v>18</v>
      </c>
      <c r="I12" s="11" t="s">
        <v>51</v>
      </c>
      <c r="J12" s="7" t="s">
        <v>52</v>
      </c>
      <c r="K12" s="7" t="s">
        <v>53</v>
      </c>
    </row>
    <row r="13" customFormat="false" ht="19.5" hidden="false" customHeight="true" outlineLevel="0" collapsed="false">
      <c r="A13" s="16" t="s">
        <v>54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49.5" hidden="false" customHeight="true" outlineLevel="0" collapsed="false">
      <c r="A14" s="17" t="n">
        <v>8</v>
      </c>
      <c r="B14" s="18" t="s">
        <v>55</v>
      </c>
      <c r="C14" s="18" t="s">
        <v>56</v>
      </c>
      <c r="D14" s="18" t="s">
        <v>57</v>
      </c>
      <c r="E14" s="19" t="n">
        <v>4</v>
      </c>
      <c r="F14" s="19" t="n">
        <v>4</v>
      </c>
      <c r="G14" s="14" t="n">
        <f aca="false">E14*F14</f>
        <v>16</v>
      </c>
      <c r="H14" s="15" t="s">
        <v>35</v>
      </c>
      <c r="I14" s="20" t="s">
        <v>58</v>
      </c>
      <c r="J14" s="18" t="s">
        <v>59</v>
      </c>
      <c r="K14" s="18" t="s">
        <v>60</v>
      </c>
    </row>
    <row r="15" customFormat="false" ht="49.5" hidden="false" customHeight="true" outlineLevel="0" collapsed="false">
      <c r="A15" s="17" t="n">
        <v>9</v>
      </c>
      <c r="B15" s="18" t="s">
        <v>61</v>
      </c>
      <c r="C15" s="18" t="s">
        <v>56</v>
      </c>
      <c r="D15" s="18" t="s">
        <v>62</v>
      </c>
      <c r="E15" s="19" t="n">
        <v>3</v>
      </c>
      <c r="F15" s="19" t="n">
        <v>3</v>
      </c>
      <c r="G15" s="12" t="n">
        <f aca="false">E15*F15</f>
        <v>9</v>
      </c>
      <c r="H15" s="13" t="s">
        <v>24</v>
      </c>
      <c r="I15" s="20" t="s">
        <v>25</v>
      </c>
      <c r="J15" s="18" t="s">
        <v>63</v>
      </c>
      <c r="K15" s="18" t="s">
        <v>64</v>
      </c>
    </row>
    <row r="16" customFormat="false" ht="49.5" hidden="false" customHeight="true" outlineLevel="0" collapsed="false">
      <c r="A16" s="17" t="n">
        <v>10</v>
      </c>
      <c r="B16" s="18" t="s">
        <v>65</v>
      </c>
      <c r="C16" s="18" t="s">
        <v>56</v>
      </c>
      <c r="D16" s="18" t="s">
        <v>66</v>
      </c>
      <c r="E16" s="19" t="n">
        <v>2</v>
      </c>
      <c r="F16" s="19" t="n">
        <v>2</v>
      </c>
      <c r="G16" s="21" t="n">
        <f aca="false">E16*F16</f>
        <v>4</v>
      </c>
      <c r="H16" s="22" t="s">
        <v>67</v>
      </c>
      <c r="I16" s="20" t="s">
        <v>68</v>
      </c>
      <c r="J16" s="18" t="s">
        <v>69</v>
      </c>
      <c r="K16" s="18" t="s">
        <v>70</v>
      </c>
    </row>
    <row r="17" customFormat="false" ht="49.5" hidden="false" customHeight="true" outlineLevel="0" collapsed="false">
      <c r="A17" s="17" t="n">
        <v>11</v>
      </c>
      <c r="B17" s="18" t="s">
        <v>71</v>
      </c>
      <c r="C17" s="18" t="s">
        <v>56</v>
      </c>
      <c r="D17" s="18" t="s">
        <v>72</v>
      </c>
      <c r="E17" s="19" t="n">
        <v>3</v>
      </c>
      <c r="F17" s="19" t="n">
        <v>3</v>
      </c>
      <c r="G17" s="12" t="n">
        <f aca="false">E17*F17</f>
        <v>9</v>
      </c>
      <c r="H17" s="13" t="s">
        <v>24</v>
      </c>
      <c r="I17" s="20" t="s">
        <v>30</v>
      </c>
      <c r="J17" s="18" t="s">
        <v>73</v>
      </c>
      <c r="K17" s="18" t="s">
        <v>74</v>
      </c>
    </row>
    <row r="18" customFormat="false" ht="49.5" hidden="false" customHeight="true" outlineLevel="0" collapsed="false">
      <c r="A18" s="17" t="n">
        <v>12</v>
      </c>
      <c r="B18" s="18" t="s">
        <v>75</v>
      </c>
      <c r="C18" s="18" t="s">
        <v>56</v>
      </c>
      <c r="D18" s="18" t="s">
        <v>76</v>
      </c>
      <c r="E18" s="19" t="n">
        <v>3</v>
      </c>
      <c r="F18" s="19" t="n">
        <v>3</v>
      </c>
      <c r="G18" s="12" t="n">
        <f aca="false">E18*F18</f>
        <v>9</v>
      </c>
      <c r="H18" s="13" t="s">
        <v>24</v>
      </c>
      <c r="I18" s="20" t="s">
        <v>77</v>
      </c>
      <c r="J18" s="18" t="s">
        <v>78</v>
      </c>
      <c r="K18" s="18" t="s">
        <v>79</v>
      </c>
    </row>
    <row r="19" customFormat="false" ht="19.5" hidden="false" customHeight="true" outlineLevel="0" collapsed="false">
      <c r="A19" s="23" t="s">
        <v>80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customFormat="false" ht="49.5" hidden="false" customHeight="true" outlineLevel="0" collapsed="false">
      <c r="A20" s="24" t="n">
        <v>13</v>
      </c>
      <c r="B20" s="25" t="s">
        <v>81</v>
      </c>
      <c r="C20" s="25" t="s">
        <v>82</v>
      </c>
      <c r="D20" s="25" t="s">
        <v>83</v>
      </c>
      <c r="E20" s="26" t="n">
        <v>5</v>
      </c>
      <c r="F20" s="26" t="n">
        <v>3</v>
      </c>
      <c r="G20" s="14" t="n">
        <f aca="false">E20*F20</f>
        <v>15</v>
      </c>
      <c r="H20" s="15" t="s">
        <v>35</v>
      </c>
      <c r="I20" s="27" t="s">
        <v>41</v>
      </c>
      <c r="J20" s="25" t="s">
        <v>84</v>
      </c>
      <c r="K20" s="25" t="s">
        <v>85</v>
      </c>
    </row>
    <row r="21" customFormat="false" ht="49.5" hidden="false" customHeight="true" outlineLevel="0" collapsed="false">
      <c r="A21" s="24" t="n">
        <v>14</v>
      </c>
      <c r="B21" s="25" t="s">
        <v>86</v>
      </c>
      <c r="C21" s="25" t="s">
        <v>82</v>
      </c>
      <c r="D21" s="25" t="s">
        <v>87</v>
      </c>
      <c r="E21" s="26" t="n">
        <v>4</v>
      </c>
      <c r="F21" s="26" t="n">
        <v>4</v>
      </c>
      <c r="G21" s="14" t="n">
        <f aca="false">E21*F21</f>
        <v>16</v>
      </c>
      <c r="H21" s="15" t="s">
        <v>35</v>
      </c>
      <c r="I21" s="27" t="s">
        <v>36</v>
      </c>
      <c r="J21" s="25" t="s">
        <v>88</v>
      </c>
      <c r="K21" s="25" t="s">
        <v>89</v>
      </c>
    </row>
    <row r="22" customFormat="false" ht="49.5" hidden="false" customHeight="true" outlineLevel="0" collapsed="false">
      <c r="A22" s="24" t="n">
        <v>15</v>
      </c>
      <c r="B22" s="25" t="s">
        <v>90</v>
      </c>
      <c r="C22" s="25" t="s">
        <v>82</v>
      </c>
      <c r="D22" s="25" t="s">
        <v>91</v>
      </c>
      <c r="E22" s="26" t="n">
        <v>5</v>
      </c>
      <c r="F22" s="26" t="n">
        <v>3</v>
      </c>
      <c r="G22" s="14" t="n">
        <f aca="false">E22*F22</f>
        <v>15</v>
      </c>
      <c r="H22" s="15" t="s">
        <v>35</v>
      </c>
      <c r="I22" s="27" t="s">
        <v>92</v>
      </c>
      <c r="J22" s="25" t="s">
        <v>93</v>
      </c>
      <c r="K22" s="25" t="s">
        <v>94</v>
      </c>
    </row>
    <row r="23" customFormat="false" ht="49.5" hidden="false" customHeight="true" outlineLevel="0" collapsed="false">
      <c r="A23" s="24" t="n">
        <v>16</v>
      </c>
      <c r="B23" s="25" t="s">
        <v>95</v>
      </c>
      <c r="C23" s="25" t="s">
        <v>82</v>
      </c>
      <c r="D23" s="25" t="s">
        <v>96</v>
      </c>
      <c r="E23" s="26" t="n">
        <v>4</v>
      </c>
      <c r="F23" s="26" t="n">
        <v>3</v>
      </c>
      <c r="G23" s="14" t="n">
        <f aca="false">E23*F23</f>
        <v>12</v>
      </c>
      <c r="H23" s="15" t="s">
        <v>35</v>
      </c>
      <c r="I23" s="27" t="s">
        <v>25</v>
      </c>
      <c r="J23" s="25" t="s">
        <v>97</v>
      </c>
      <c r="K23" s="25" t="s">
        <v>98</v>
      </c>
    </row>
    <row r="24" customFormat="false" ht="49.5" hidden="false" customHeight="true" outlineLevel="0" collapsed="false">
      <c r="A24" s="24" t="n">
        <v>17</v>
      </c>
      <c r="B24" s="25" t="s">
        <v>99</v>
      </c>
      <c r="C24" s="25" t="s">
        <v>82</v>
      </c>
      <c r="D24" s="25" t="s">
        <v>100</v>
      </c>
      <c r="E24" s="26" t="n">
        <v>3</v>
      </c>
      <c r="F24" s="26" t="n">
        <v>3</v>
      </c>
      <c r="G24" s="12" t="n">
        <f aca="false">E24*F24</f>
        <v>9</v>
      </c>
      <c r="H24" s="13" t="s">
        <v>24</v>
      </c>
      <c r="I24" s="27" t="s">
        <v>77</v>
      </c>
      <c r="J24" s="25" t="s">
        <v>101</v>
      </c>
      <c r="K24" s="25" t="s">
        <v>102</v>
      </c>
    </row>
    <row r="25" customFormat="false" ht="19.5" hidden="false" customHeight="true" outlineLevel="0" collapsed="false">
      <c r="A25" s="28" t="s">
        <v>103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customFormat="false" ht="49.5" hidden="false" customHeight="true" outlineLevel="0" collapsed="false">
      <c r="A26" s="29" t="n">
        <v>18</v>
      </c>
      <c r="B26" s="30" t="s">
        <v>104</v>
      </c>
      <c r="C26" s="30" t="s">
        <v>105</v>
      </c>
      <c r="D26" s="30" t="s">
        <v>106</v>
      </c>
      <c r="E26" s="31" t="n">
        <v>4</v>
      </c>
      <c r="F26" s="31" t="n">
        <v>3</v>
      </c>
      <c r="G26" s="14" t="n">
        <f aca="false">E26*F26</f>
        <v>12</v>
      </c>
      <c r="H26" s="15" t="s">
        <v>35</v>
      </c>
      <c r="I26" s="32" t="s">
        <v>46</v>
      </c>
      <c r="J26" s="30" t="s">
        <v>107</v>
      </c>
      <c r="K26" s="30" t="s">
        <v>108</v>
      </c>
    </row>
    <row r="27" customFormat="false" ht="49.5" hidden="false" customHeight="true" outlineLevel="0" collapsed="false">
      <c r="A27" s="29" t="n">
        <v>19</v>
      </c>
      <c r="B27" s="30" t="s">
        <v>109</v>
      </c>
      <c r="C27" s="30" t="s">
        <v>105</v>
      </c>
      <c r="D27" s="30" t="s">
        <v>110</v>
      </c>
      <c r="E27" s="31" t="n">
        <v>4</v>
      </c>
      <c r="F27" s="31" t="n">
        <v>4</v>
      </c>
      <c r="G27" s="14" t="n">
        <f aca="false">E27*F27</f>
        <v>16</v>
      </c>
      <c r="H27" s="15" t="s">
        <v>35</v>
      </c>
      <c r="I27" s="32" t="s">
        <v>36</v>
      </c>
      <c r="J27" s="30" t="s">
        <v>111</v>
      </c>
      <c r="K27" s="30" t="s">
        <v>112</v>
      </c>
    </row>
    <row r="28" customFormat="false" ht="49.5" hidden="false" customHeight="true" outlineLevel="0" collapsed="false">
      <c r="A28" s="29" t="n">
        <v>20</v>
      </c>
      <c r="B28" s="30" t="s">
        <v>113</v>
      </c>
      <c r="C28" s="30" t="s">
        <v>105</v>
      </c>
      <c r="D28" s="30" t="s">
        <v>114</v>
      </c>
      <c r="E28" s="31" t="n">
        <v>3</v>
      </c>
      <c r="F28" s="31" t="n">
        <v>3</v>
      </c>
      <c r="G28" s="12" t="n">
        <f aca="false">E28*F28</f>
        <v>9</v>
      </c>
      <c r="H28" s="13" t="s">
        <v>24</v>
      </c>
      <c r="I28" s="32" t="s">
        <v>30</v>
      </c>
      <c r="J28" s="30" t="s">
        <v>115</v>
      </c>
      <c r="K28" s="30" t="s">
        <v>116</v>
      </c>
    </row>
    <row r="29" customFormat="false" ht="49.5" hidden="false" customHeight="true" outlineLevel="0" collapsed="false">
      <c r="A29" s="29" t="n">
        <v>21</v>
      </c>
      <c r="B29" s="30" t="s">
        <v>117</v>
      </c>
      <c r="C29" s="30" t="s">
        <v>105</v>
      </c>
      <c r="D29" s="30" t="s">
        <v>118</v>
      </c>
      <c r="E29" s="31" t="n">
        <v>3</v>
      </c>
      <c r="F29" s="31" t="n">
        <v>4</v>
      </c>
      <c r="G29" s="14" t="n">
        <f aca="false">E29*F29</f>
        <v>12</v>
      </c>
      <c r="H29" s="15" t="s">
        <v>35</v>
      </c>
      <c r="I29" s="32" t="s">
        <v>25</v>
      </c>
      <c r="J29" s="30" t="s">
        <v>119</v>
      </c>
      <c r="K29" s="30" t="s">
        <v>120</v>
      </c>
    </row>
    <row r="30" customFormat="false" ht="19.5" hidden="false" customHeight="true" outlineLevel="0" collapsed="false">
      <c r="A30" s="33" t="s">
        <v>121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customFormat="false" ht="49.5" hidden="false" customHeight="true" outlineLevel="0" collapsed="false">
      <c r="A31" s="34" t="n">
        <v>22</v>
      </c>
      <c r="B31" s="35" t="s">
        <v>122</v>
      </c>
      <c r="C31" s="35" t="s">
        <v>123</v>
      </c>
      <c r="D31" s="35" t="s">
        <v>124</v>
      </c>
      <c r="E31" s="36" t="n">
        <v>4</v>
      </c>
      <c r="F31" s="36" t="n">
        <v>3</v>
      </c>
      <c r="G31" s="14" t="n">
        <f aca="false">E31*F31</f>
        <v>12</v>
      </c>
      <c r="H31" s="15" t="s">
        <v>35</v>
      </c>
      <c r="I31" s="37" t="s">
        <v>46</v>
      </c>
      <c r="J31" s="35" t="s">
        <v>125</v>
      </c>
      <c r="K31" s="35" t="s">
        <v>126</v>
      </c>
    </row>
    <row r="32" customFormat="false" ht="49.5" hidden="false" customHeight="true" outlineLevel="0" collapsed="false">
      <c r="A32" s="34" t="n">
        <v>23</v>
      </c>
      <c r="B32" s="35" t="s">
        <v>127</v>
      </c>
      <c r="C32" s="35" t="s">
        <v>123</v>
      </c>
      <c r="D32" s="35" t="s">
        <v>128</v>
      </c>
      <c r="E32" s="36" t="n">
        <v>3</v>
      </c>
      <c r="F32" s="36" t="n">
        <v>2</v>
      </c>
      <c r="G32" s="12" t="n">
        <f aca="false">E32*F32</f>
        <v>6</v>
      </c>
      <c r="H32" s="13" t="s">
        <v>24</v>
      </c>
      <c r="I32" s="37" t="s">
        <v>129</v>
      </c>
      <c r="J32" s="35" t="s">
        <v>130</v>
      </c>
      <c r="K32" s="35" t="s">
        <v>131</v>
      </c>
    </row>
    <row r="33" customFormat="false" ht="49.5" hidden="false" customHeight="true" outlineLevel="0" collapsed="false">
      <c r="A33" s="34" t="n">
        <v>24</v>
      </c>
      <c r="B33" s="35" t="s">
        <v>132</v>
      </c>
      <c r="C33" s="35" t="s">
        <v>123</v>
      </c>
      <c r="D33" s="35" t="s">
        <v>133</v>
      </c>
      <c r="E33" s="36" t="n">
        <v>3</v>
      </c>
      <c r="F33" s="36" t="n">
        <v>4</v>
      </c>
      <c r="G33" s="14" t="n">
        <f aca="false">E33*F33</f>
        <v>12</v>
      </c>
      <c r="H33" s="15" t="s">
        <v>35</v>
      </c>
      <c r="I33" s="37" t="s">
        <v>46</v>
      </c>
      <c r="J33" s="35" t="s">
        <v>134</v>
      </c>
      <c r="K33" s="35" t="s">
        <v>135</v>
      </c>
    </row>
    <row r="34" customFormat="false" ht="49.5" hidden="false" customHeight="true" outlineLevel="0" collapsed="false">
      <c r="A34" s="34" t="n">
        <v>25</v>
      </c>
      <c r="B34" s="35" t="s">
        <v>136</v>
      </c>
      <c r="C34" s="35" t="s">
        <v>123</v>
      </c>
      <c r="D34" s="35" t="s">
        <v>137</v>
      </c>
      <c r="E34" s="36" t="n">
        <v>2</v>
      </c>
      <c r="F34" s="36" t="n">
        <v>3</v>
      </c>
      <c r="G34" s="12" t="n">
        <f aca="false">E34*F34</f>
        <v>6</v>
      </c>
      <c r="H34" s="13" t="s">
        <v>24</v>
      </c>
      <c r="I34" s="37" t="s">
        <v>129</v>
      </c>
      <c r="J34" s="35" t="s">
        <v>138</v>
      </c>
      <c r="K34" s="35" t="s">
        <v>139</v>
      </c>
    </row>
    <row r="35" customFormat="false" ht="19.5" hidden="false" customHeight="true" outlineLevel="0" collapsed="false">
      <c r="A35" s="38" t="s">
        <v>140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customFormat="false" ht="49.5" hidden="false" customHeight="true" outlineLevel="0" collapsed="false">
      <c r="A36" s="39" t="n">
        <v>26</v>
      </c>
      <c r="B36" s="40" t="s">
        <v>141</v>
      </c>
      <c r="C36" s="40" t="s">
        <v>142</v>
      </c>
      <c r="D36" s="40" t="s">
        <v>143</v>
      </c>
      <c r="E36" s="41" t="n">
        <v>4</v>
      </c>
      <c r="F36" s="41" t="n">
        <v>3</v>
      </c>
      <c r="G36" s="14" t="n">
        <f aca="false">E36*F36</f>
        <v>12</v>
      </c>
      <c r="H36" s="15" t="s">
        <v>35</v>
      </c>
      <c r="I36" s="42" t="s">
        <v>25</v>
      </c>
      <c r="J36" s="40" t="s">
        <v>144</v>
      </c>
      <c r="K36" s="40" t="s">
        <v>145</v>
      </c>
    </row>
    <row r="37" customFormat="false" ht="49.5" hidden="false" customHeight="true" outlineLevel="0" collapsed="false">
      <c r="A37" s="39" t="n">
        <v>27</v>
      </c>
      <c r="B37" s="40" t="s">
        <v>146</v>
      </c>
      <c r="C37" s="40" t="s">
        <v>142</v>
      </c>
      <c r="D37" s="40" t="s">
        <v>147</v>
      </c>
      <c r="E37" s="41" t="n">
        <v>4</v>
      </c>
      <c r="F37" s="41" t="n">
        <v>5</v>
      </c>
      <c r="G37" s="9" t="n">
        <f aca="false">E37*F37</f>
        <v>20</v>
      </c>
      <c r="H37" s="10" t="s">
        <v>18</v>
      </c>
      <c r="I37" s="42" t="s">
        <v>148</v>
      </c>
      <c r="J37" s="40" t="s">
        <v>149</v>
      </c>
      <c r="K37" s="40" t="s">
        <v>150</v>
      </c>
    </row>
    <row r="38" customFormat="false" ht="49.5" hidden="false" customHeight="true" outlineLevel="0" collapsed="false">
      <c r="A38" s="39" t="n">
        <v>28</v>
      </c>
      <c r="B38" s="40" t="s">
        <v>151</v>
      </c>
      <c r="C38" s="40" t="s">
        <v>142</v>
      </c>
      <c r="D38" s="40" t="s">
        <v>152</v>
      </c>
      <c r="E38" s="41" t="n">
        <v>3</v>
      </c>
      <c r="F38" s="41" t="n">
        <v>2</v>
      </c>
      <c r="G38" s="12" t="n">
        <f aca="false">E38*F38</f>
        <v>6</v>
      </c>
      <c r="H38" s="13" t="s">
        <v>24</v>
      </c>
      <c r="I38" s="42" t="s">
        <v>129</v>
      </c>
      <c r="J38" s="40" t="s">
        <v>153</v>
      </c>
      <c r="K38" s="40" t="s">
        <v>154</v>
      </c>
    </row>
    <row r="39" customFormat="false" ht="49.5" hidden="false" customHeight="true" outlineLevel="0" collapsed="false">
      <c r="A39" s="39" t="n">
        <v>29</v>
      </c>
      <c r="B39" s="40" t="s">
        <v>155</v>
      </c>
      <c r="C39" s="40" t="s">
        <v>142</v>
      </c>
      <c r="D39" s="40" t="s">
        <v>156</v>
      </c>
      <c r="E39" s="41" t="n">
        <v>3</v>
      </c>
      <c r="F39" s="41" t="n">
        <v>3</v>
      </c>
      <c r="G39" s="12" t="n">
        <f aca="false">E39*F39</f>
        <v>9</v>
      </c>
      <c r="H39" s="13" t="s">
        <v>24</v>
      </c>
      <c r="I39" s="42" t="s">
        <v>30</v>
      </c>
      <c r="J39" s="40" t="s">
        <v>157</v>
      </c>
      <c r="K39" s="40" t="s">
        <v>158</v>
      </c>
    </row>
    <row r="40" customFormat="false" ht="49.5" hidden="false" customHeight="true" outlineLevel="0" collapsed="false">
      <c r="A40" s="39" t="n">
        <v>30</v>
      </c>
      <c r="B40" s="40" t="s">
        <v>159</v>
      </c>
      <c r="C40" s="40" t="s">
        <v>142</v>
      </c>
      <c r="D40" s="40" t="s">
        <v>160</v>
      </c>
      <c r="E40" s="41" t="n">
        <v>2</v>
      </c>
      <c r="F40" s="41" t="n">
        <v>2</v>
      </c>
      <c r="G40" s="21" t="n">
        <f aca="false">E40*F40</f>
        <v>4</v>
      </c>
      <c r="H40" s="22" t="s">
        <v>67</v>
      </c>
      <c r="I40" s="42" t="s">
        <v>68</v>
      </c>
      <c r="J40" s="40" t="s">
        <v>161</v>
      </c>
      <c r="K40" s="40" t="s">
        <v>162</v>
      </c>
    </row>
    <row r="41" customFormat="false" ht="19.5" hidden="false" customHeight="true" outlineLevel="0" collapsed="false">
      <c r="A41" s="16" t="s">
        <v>54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customFormat="false" ht="49.5" hidden="false" customHeight="true" outlineLevel="0" collapsed="false">
      <c r="A42" s="17" t="n">
        <v>31</v>
      </c>
      <c r="B42" s="18" t="s">
        <v>163</v>
      </c>
      <c r="C42" s="18" t="s">
        <v>56</v>
      </c>
      <c r="D42" s="18" t="s">
        <v>164</v>
      </c>
      <c r="E42" s="19" t="n">
        <v>4</v>
      </c>
      <c r="F42" s="19" t="n">
        <v>4</v>
      </c>
      <c r="G42" s="14" t="n">
        <f aca="false">E42*F42</f>
        <v>16</v>
      </c>
      <c r="H42" s="15" t="s">
        <v>35</v>
      </c>
      <c r="I42" s="20" t="s">
        <v>165</v>
      </c>
      <c r="J42" s="18" t="s">
        <v>166</v>
      </c>
      <c r="K42" s="18" t="s">
        <v>167</v>
      </c>
    </row>
    <row r="43" customFormat="false" ht="49.5" hidden="false" customHeight="true" outlineLevel="0" collapsed="false">
      <c r="A43" s="17" t="n">
        <v>32</v>
      </c>
      <c r="B43" s="18" t="s">
        <v>168</v>
      </c>
      <c r="C43" s="18" t="s">
        <v>56</v>
      </c>
      <c r="D43" s="18" t="s">
        <v>169</v>
      </c>
      <c r="E43" s="19" t="n">
        <v>2</v>
      </c>
      <c r="F43" s="19" t="n">
        <v>3</v>
      </c>
      <c r="G43" s="12" t="n">
        <f aca="false">E43*F43</f>
        <v>6</v>
      </c>
      <c r="H43" s="13" t="s">
        <v>24</v>
      </c>
      <c r="I43" s="20" t="s">
        <v>129</v>
      </c>
      <c r="J43" s="18" t="s">
        <v>170</v>
      </c>
      <c r="K43" s="18" t="s">
        <v>171</v>
      </c>
    </row>
    <row r="44" customFormat="false" ht="19.5" hidden="false" customHeight="true" outlineLevel="0" collapsed="false">
      <c r="A44" s="5" t="s">
        <v>14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customFormat="false" ht="49.5" hidden="false" customHeight="true" outlineLevel="0" collapsed="false">
      <c r="A45" s="6" t="n">
        <v>33</v>
      </c>
      <c r="B45" s="7" t="s">
        <v>172</v>
      </c>
      <c r="C45" s="7" t="s">
        <v>16</v>
      </c>
      <c r="D45" s="7" t="s">
        <v>173</v>
      </c>
      <c r="E45" s="8" t="n">
        <v>3</v>
      </c>
      <c r="F45" s="8" t="n">
        <v>4</v>
      </c>
      <c r="G45" s="14" t="n">
        <f aca="false">E45*F45</f>
        <v>12</v>
      </c>
      <c r="H45" s="15" t="s">
        <v>35</v>
      </c>
      <c r="I45" s="11" t="s">
        <v>46</v>
      </c>
      <c r="J45" s="7" t="s">
        <v>174</v>
      </c>
      <c r="K45" s="7" t="s">
        <v>175</v>
      </c>
    </row>
    <row r="46" customFormat="false" ht="30" hidden="false" customHeight="true" outlineLevel="0" collapsed="false">
      <c r="A46" s="43" t="s">
        <v>176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</row>
  </sheetData>
  <mergeCells count="12">
    <mergeCell ref="A1:K1"/>
    <mergeCell ref="A2:K2"/>
    <mergeCell ref="A3:K3"/>
    <mergeCell ref="A5:K5"/>
    <mergeCell ref="A13:K13"/>
    <mergeCell ref="A19:K19"/>
    <mergeCell ref="A25:K25"/>
    <mergeCell ref="A30:K30"/>
    <mergeCell ref="A35:K35"/>
    <mergeCell ref="A41:K41"/>
    <mergeCell ref="A44:K44"/>
    <mergeCell ref="A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177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44" t="s">
        <v>178</v>
      </c>
      <c r="B3" s="44"/>
      <c r="C3" s="44"/>
      <c r="D3" s="44"/>
      <c r="E3" s="44"/>
      <c r="F3" s="44"/>
    </row>
    <row r="4" customFormat="false" ht="15" hidden="false" customHeight="false" outlineLevel="0" collapsed="false">
      <c r="A4" s="45" t="s">
        <v>5</v>
      </c>
      <c r="B4" s="45" t="s">
        <v>179</v>
      </c>
      <c r="C4" s="45" t="s">
        <v>180</v>
      </c>
      <c r="D4" s="45" t="s">
        <v>181</v>
      </c>
      <c r="E4" s="45" t="s">
        <v>182</v>
      </c>
      <c r="F4" s="45" t="s">
        <v>183</v>
      </c>
    </row>
    <row r="5" customFormat="false" ht="15" hidden="false" customHeight="false" outlineLevel="0" collapsed="false">
      <c r="A5" s="46" t="s">
        <v>16</v>
      </c>
      <c r="B5" s="47" t="n">
        <v>8</v>
      </c>
      <c r="C5" s="48" t="n">
        <v>2</v>
      </c>
      <c r="D5" s="49" t="n">
        <v>4</v>
      </c>
      <c r="E5" s="47" t="n">
        <v>2</v>
      </c>
      <c r="F5" s="47" t="n">
        <v>0</v>
      </c>
    </row>
    <row r="6" customFormat="false" ht="15" hidden="false" customHeight="false" outlineLevel="0" collapsed="false">
      <c r="A6" s="50" t="s">
        <v>56</v>
      </c>
      <c r="B6" s="51" t="n">
        <v>7</v>
      </c>
      <c r="C6" s="51" t="n">
        <v>0</v>
      </c>
      <c r="D6" s="52" t="n">
        <v>2</v>
      </c>
      <c r="E6" s="51" t="n">
        <v>4</v>
      </c>
      <c r="F6" s="51" t="n">
        <v>1</v>
      </c>
    </row>
    <row r="7" customFormat="false" ht="15" hidden="false" customHeight="false" outlineLevel="0" collapsed="false">
      <c r="A7" s="53" t="s">
        <v>82</v>
      </c>
      <c r="B7" s="54" t="n">
        <v>5</v>
      </c>
      <c r="C7" s="54" t="n">
        <v>0</v>
      </c>
      <c r="D7" s="55" t="n">
        <v>4</v>
      </c>
      <c r="E7" s="54" t="n">
        <v>1</v>
      </c>
      <c r="F7" s="54" t="n">
        <v>0</v>
      </c>
    </row>
    <row r="8" customFormat="false" ht="15" hidden="false" customHeight="false" outlineLevel="0" collapsed="false">
      <c r="A8" s="56" t="s">
        <v>105</v>
      </c>
      <c r="B8" s="57" t="n">
        <v>4</v>
      </c>
      <c r="C8" s="57" t="n">
        <v>0</v>
      </c>
      <c r="D8" s="58" t="n">
        <v>3</v>
      </c>
      <c r="E8" s="57" t="n">
        <v>1</v>
      </c>
      <c r="F8" s="57" t="n">
        <v>0</v>
      </c>
    </row>
    <row r="9" customFormat="false" ht="15" hidden="false" customHeight="false" outlineLevel="0" collapsed="false">
      <c r="A9" s="59" t="s">
        <v>123</v>
      </c>
      <c r="B9" s="60" t="n">
        <v>4</v>
      </c>
      <c r="C9" s="60" t="n">
        <v>0</v>
      </c>
      <c r="D9" s="61" t="n">
        <v>2</v>
      </c>
      <c r="E9" s="60" t="n">
        <v>2</v>
      </c>
      <c r="F9" s="60" t="n">
        <v>0</v>
      </c>
    </row>
    <row r="10" customFormat="false" ht="15" hidden="false" customHeight="false" outlineLevel="0" collapsed="false">
      <c r="A10" s="62" t="s">
        <v>142</v>
      </c>
      <c r="B10" s="63" t="n">
        <v>5</v>
      </c>
      <c r="C10" s="64" t="n">
        <v>1</v>
      </c>
      <c r="D10" s="65" t="n">
        <v>1</v>
      </c>
      <c r="E10" s="63" t="n">
        <v>2</v>
      </c>
      <c r="F10" s="63" t="n">
        <v>1</v>
      </c>
    </row>
    <row r="11" customFormat="false" ht="3.75" hidden="false" customHeight="true" outlineLevel="0" collapsed="false"/>
    <row r="12" customFormat="false" ht="15" hidden="false" customHeight="false" outlineLevel="0" collapsed="false">
      <c r="A12" s="66" t="s">
        <v>184</v>
      </c>
      <c r="B12" s="45" t="n">
        <v>33</v>
      </c>
      <c r="C12" s="45" t="n">
        <v>3</v>
      </c>
      <c r="D12" s="45" t="n">
        <v>16</v>
      </c>
      <c r="E12" s="45" t="n">
        <v>12</v>
      </c>
      <c r="F12" s="45" t="n">
        <v>2</v>
      </c>
    </row>
    <row r="15" customFormat="false" ht="21.75" hidden="false" customHeight="true" outlineLevel="0" collapsed="false">
      <c r="A15" s="44" t="s">
        <v>185</v>
      </c>
      <c r="B15" s="44"/>
      <c r="C15" s="44"/>
      <c r="D15" s="44"/>
      <c r="E15" s="44"/>
      <c r="F15" s="44"/>
    </row>
    <row r="16" customFormat="false" ht="23.85" hidden="false" customHeight="false" outlineLevel="0" collapsed="false">
      <c r="A16" s="67" t="s">
        <v>5</v>
      </c>
      <c r="B16" s="67" t="s">
        <v>186</v>
      </c>
      <c r="C16" s="67" t="s">
        <v>187</v>
      </c>
      <c r="D16" s="67" t="s">
        <v>188</v>
      </c>
      <c r="E16" s="67" t="s">
        <v>189</v>
      </c>
      <c r="F16" s="67" t="s">
        <v>190</v>
      </c>
    </row>
    <row r="17" customFormat="false" ht="15" hidden="false" customHeight="false" outlineLevel="0" collapsed="false">
      <c r="A17" s="68" t="s">
        <v>82</v>
      </c>
      <c r="B17" s="55" t="n">
        <v>13.4</v>
      </c>
      <c r="C17" s="54" t="n">
        <v>16</v>
      </c>
      <c r="D17" s="54" t="n">
        <v>5</v>
      </c>
      <c r="E17" s="54" t="s">
        <v>191</v>
      </c>
      <c r="F17" s="69" t="n">
        <v>1</v>
      </c>
    </row>
    <row r="18" customFormat="false" ht="15" hidden="false" customHeight="false" outlineLevel="0" collapsed="false">
      <c r="A18" s="70" t="s">
        <v>16</v>
      </c>
      <c r="B18" s="55" t="n">
        <v>13.4</v>
      </c>
      <c r="C18" s="47" t="n">
        <v>20</v>
      </c>
      <c r="D18" s="47" t="n">
        <v>8</v>
      </c>
      <c r="E18" s="47" t="s">
        <v>192</v>
      </c>
      <c r="F18" s="71" t="n">
        <v>2</v>
      </c>
    </row>
    <row r="19" customFormat="false" ht="15" hidden="false" customHeight="false" outlineLevel="0" collapsed="false">
      <c r="A19" s="72" t="s">
        <v>105</v>
      </c>
      <c r="B19" s="55" t="n">
        <v>12.2</v>
      </c>
      <c r="C19" s="57" t="n">
        <v>16</v>
      </c>
      <c r="D19" s="57" t="n">
        <v>4</v>
      </c>
      <c r="E19" s="57" t="s">
        <v>193</v>
      </c>
      <c r="F19" s="73" t="n">
        <v>3</v>
      </c>
    </row>
    <row r="20" customFormat="false" ht="15" hidden="false" customHeight="false" outlineLevel="0" collapsed="false">
      <c r="A20" s="74" t="s">
        <v>142</v>
      </c>
      <c r="B20" s="55" t="n">
        <v>10.2</v>
      </c>
      <c r="C20" s="63" t="n">
        <v>20</v>
      </c>
      <c r="D20" s="63" t="n">
        <v>5</v>
      </c>
      <c r="E20" s="63" t="s">
        <v>194</v>
      </c>
      <c r="F20" s="75" t="n">
        <v>4</v>
      </c>
    </row>
    <row r="21" customFormat="false" ht="15" hidden="false" customHeight="false" outlineLevel="0" collapsed="false">
      <c r="A21" s="76" t="s">
        <v>56</v>
      </c>
      <c r="B21" s="55" t="n">
        <v>9.9</v>
      </c>
      <c r="C21" s="51" t="n">
        <v>16</v>
      </c>
      <c r="D21" s="51" t="n">
        <v>7</v>
      </c>
      <c r="E21" s="51" t="s">
        <v>195</v>
      </c>
      <c r="F21" s="77" t="n">
        <v>5</v>
      </c>
    </row>
    <row r="22" customFormat="false" ht="15" hidden="false" customHeight="false" outlineLevel="0" collapsed="false">
      <c r="A22" s="78" t="s">
        <v>123</v>
      </c>
      <c r="B22" s="79" t="n">
        <v>9</v>
      </c>
      <c r="C22" s="60" t="n">
        <v>12</v>
      </c>
      <c r="D22" s="60" t="n">
        <v>4</v>
      </c>
      <c r="E22" s="60" t="s">
        <v>196</v>
      </c>
      <c r="F22" s="80" t="n">
        <v>6</v>
      </c>
    </row>
    <row r="25" customFormat="false" ht="21.75" hidden="false" customHeight="true" outlineLevel="0" collapsed="false">
      <c r="A25" s="44" t="s">
        <v>197</v>
      </c>
      <c r="B25" s="44"/>
      <c r="C25" s="44"/>
      <c r="D25" s="44"/>
      <c r="E25" s="44"/>
      <c r="F25" s="44"/>
    </row>
    <row r="26" customFormat="false" ht="19.5" hidden="false" customHeight="true" outlineLevel="0" collapsed="false">
      <c r="A26" s="81" t="s">
        <v>198</v>
      </c>
      <c r="B26" s="81"/>
      <c r="C26" s="81"/>
      <c r="D26" s="81"/>
      <c r="E26" s="81"/>
      <c r="F26" s="81"/>
    </row>
    <row r="27" customFormat="false" ht="36" hidden="false" customHeight="true" outlineLevel="0" collapsed="false">
      <c r="A27" s="82" t="s">
        <v>199</v>
      </c>
      <c r="B27" s="82"/>
      <c r="C27" s="82"/>
      <c r="D27" s="82"/>
      <c r="E27" s="82"/>
      <c r="F27" s="82"/>
    </row>
    <row r="28" customFormat="false" ht="19.5" hidden="false" customHeight="true" outlineLevel="0" collapsed="false">
      <c r="A28" s="81" t="s">
        <v>200</v>
      </c>
      <c r="B28" s="81"/>
      <c r="C28" s="81"/>
      <c r="D28" s="81"/>
      <c r="E28" s="81"/>
      <c r="F28" s="81"/>
    </row>
    <row r="29" customFormat="false" ht="36" hidden="false" customHeight="true" outlineLevel="0" collapsed="false">
      <c r="A29" s="82" t="s">
        <v>201</v>
      </c>
      <c r="B29" s="82"/>
      <c r="C29" s="82"/>
      <c r="D29" s="82"/>
      <c r="E29" s="82"/>
      <c r="F29" s="82"/>
    </row>
    <row r="30" customFormat="false" ht="19.5" hidden="false" customHeight="true" outlineLevel="0" collapsed="false">
      <c r="A30" s="81" t="s">
        <v>202</v>
      </c>
      <c r="B30" s="81"/>
      <c r="C30" s="81"/>
      <c r="D30" s="81"/>
      <c r="E30" s="81"/>
      <c r="F30" s="81"/>
    </row>
    <row r="31" customFormat="false" ht="36" hidden="false" customHeight="true" outlineLevel="0" collapsed="false">
      <c r="A31" s="82" t="s">
        <v>203</v>
      </c>
      <c r="B31" s="82"/>
      <c r="C31" s="82"/>
      <c r="D31" s="82"/>
      <c r="E31" s="82"/>
      <c r="F31" s="82"/>
    </row>
    <row r="32" customFormat="false" ht="19.5" hidden="false" customHeight="true" outlineLevel="0" collapsed="false">
      <c r="A32" s="81" t="s">
        <v>204</v>
      </c>
      <c r="B32" s="81"/>
      <c r="C32" s="81"/>
      <c r="D32" s="81"/>
      <c r="E32" s="81"/>
      <c r="F32" s="81"/>
    </row>
    <row r="33" customFormat="false" ht="36" hidden="false" customHeight="true" outlineLevel="0" collapsed="false">
      <c r="A33" s="82" t="s">
        <v>205</v>
      </c>
      <c r="B33" s="82"/>
      <c r="C33" s="82"/>
      <c r="D33" s="82"/>
      <c r="E33" s="82"/>
      <c r="F33" s="82"/>
    </row>
    <row r="34" customFormat="false" ht="19.5" hidden="false" customHeight="true" outlineLevel="0" collapsed="false">
      <c r="A34" s="81" t="s">
        <v>206</v>
      </c>
      <c r="B34" s="81"/>
      <c r="C34" s="81"/>
      <c r="D34" s="81"/>
      <c r="E34" s="81"/>
      <c r="F34" s="81"/>
    </row>
    <row r="35" customFormat="false" ht="36" hidden="false" customHeight="true" outlineLevel="0" collapsed="false">
      <c r="A35" s="82" t="s">
        <v>207</v>
      </c>
      <c r="B35" s="82"/>
      <c r="C35" s="82"/>
      <c r="D35" s="82"/>
      <c r="E35" s="82"/>
      <c r="F35" s="82"/>
    </row>
  </sheetData>
  <mergeCells count="14">
    <mergeCell ref="A1:F1"/>
    <mergeCell ref="A3:F3"/>
    <mergeCell ref="A15:F15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  <col collapsed="false" customWidth="true" hidden="false" outlineLevel="0" max="6" min="5" style="0" width="24"/>
    <col collapsed="false" customWidth="true" hidden="false" outlineLevel="0" max="7" min="7" style="0" width="28"/>
  </cols>
  <sheetData>
    <row r="1" customFormat="false" ht="25.5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83" t="s">
        <v>209</v>
      </c>
      <c r="B2" s="83"/>
      <c r="C2" s="83"/>
      <c r="D2" s="83"/>
      <c r="E2" s="83"/>
      <c r="F2" s="83"/>
      <c r="G2" s="83"/>
    </row>
    <row r="4" customFormat="false" ht="21.75" hidden="false" customHeight="true" outlineLevel="0" collapsed="false">
      <c r="A4" s="44" t="s">
        <v>210</v>
      </c>
      <c r="B4" s="44"/>
      <c r="C4" s="44"/>
      <c r="D4" s="44"/>
      <c r="E4" s="44"/>
      <c r="F4" s="44"/>
      <c r="G4" s="44"/>
    </row>
    <row r="5" customFormat="false" ht="39.75" hidden="false" customHeight="true" outlineLevel="0" collapsed="false">
      <c r="A5" s="67" t="s">
        <v>211</v>
      </c>
      <c r="B5" s="67" t="s">
        <v>212</v>
      </c>
      <c r="C5" s="67" t="s">
        <v>213</v>
      </c>
      <c r="D5" s="67" t="s">
        <v>214</v>
      </c>
      <c r="E5" s="67" t="s">
        <v>215</v>
      </c>
      <c r="F5" s="67" t="s">
        <v>216</v>
      </c>
      <c r="G5" s="67" t="s">
        <v>217</v>
      </c>
    </row>
    <row r="6" customFormat="false" ht="51.75" hidden="false" customHeight="true" outlineLevel="0" collapsed="false">
      <c r="A6" s="84" t="s">
        <v>218</v>
      </c>
      <c r="B6" s="85" t="s">
        <v>219</v>
      </c>
      <c r="C6" s="85" t="s">
        <v>220</v>
      </c>
      <c r="D6" s="86" t="s">
        <v>221</v>
      </c>
      <c r="E6" s="85" t="s">
        <v>222</v>
      </c>
      <c r="F6" s="85" t="s">
        <v>223</v>
      </c>
      <c r="G6" s="85" t="s">
        <v>224</v>
      </c>
    </row>
    <row r="7" customFormat="false" ht="51.75" hidden="false" customHeight="true" outlineLevel="0" collapsed="false">
      <c r="A7" s="87" t="s">
        <v>225</v>
      </c>
      <c r="B7" s="88" t="s">
        <v>226</v>
      </c>
      <c r="C7" s="88" t="s">
        <v>227</v>
      </c>
      <c r="D7" s="88" t="s">
        <v>228</v>
      </c>
      <c r="E7" s="89" t="s">
        <v>229</v>
      </c>
      <c r="F7" s="88" t="s">
        <v>230</v>
      </c>
      <c r="G7" s="88" t="s">
        <v>231</v>
      </c>
    </row>
    <row r="8" customFormat="false" ht="51.75" hidden="false" customHeight="true" outlineLevel="0" collapsed="false">
      <c r="A8" s="84" t="s">
        <v>232</v>
      </c>
      <c r="B8" s="85" t="s">
        <v>233</v>
      </c>
      <c r="C8" s="85" t="s">
        <v>234</v>
      </c>
      <c r="D8" s="85" t="s">
        <v>235</v>
      </c>
      <c r="E8" s="86" t="s">
        <v>229</v>
      </c>
      <c r="F8" s="85" t="s">
        <v>236</v>
      </c>
      <c r="G8" s="85" t="s">
        <v>237</v>
      </c>
    </row>
    <row r="9" customFormat="false" ht="51.75" hidden="false" customHeight="true" outlineLevel="0" collapsed="false">
      <c r="A9" s="87" t="s">
        <v>238</v>
      </c>
      <c r="B9" s="88" t="s">
        <v>239</v>
      </c>
      <c r="C9" s="88" t="s">
        <v>240</v>
      </c>
      <c r="D9" s="88" t="s">
        <v>241</v>
      </c>
      <c r="E9" s="89" t="s">
        <v>229</v>
      </c>
      <c r="F9" s="88" t="s">
        <v>242</v>
      </c>
      <c r="G9" s="88" t="s">
        <v>243</v>
      </c>
    </row>
    <row r="10" customFormat="false" ht="51.75" hidden="false" customHeight="true" outlineLevel="0" collapsed="false">
      <c r="A10" s="84" t="s">
        <v>244</v>
      </c>
      <c r="B10" s="85" t="s">
        <v>245</v>
      </c>
      <c r="C10" s="85" t="s">
        <v>227</v>
      </c>
      <c r="D10" s="85" t="s">
        <v>246</v>
      </c>
      <c r="E10" s="86" t="s">
        <v>229</v>
      </c>
      <c r="F10" s="85" t="s">
        <v>247</v>
      </c>
      <c r="G10" s="85" t="s">
        <v>248</v>
      </c>
    </row>
    <row r="13" customFormat="false" ht="21.75" hidden="false" customHeight="true" outlineLevel="0" collapsed="false">
      <c r="A13" s="44" t="s">
        <v>249</v>
      </c>
      <c r="B13" s="44"/>
      <c r="C13" s="44"/>
      <c r="D13" s="44"/>
      <c r="E13" s="44"/>
      <c r="F13" s="44"/>
      <c r="G13" s="44"/>
    </row>
    <row r="14" customFormat="false" ht="39.75" hidden="false" customHeight="true" outlineLevel="0" collapsed="false">
      <c r="A14" s="67" t="s">
        <v>250</v>
      </c>
      <c r="B14" s="67" t="s">
        <v>251</v>
      </c>
      <c r="C14" s="67" t="s">
        <v>252</v>
      </c>
      <c r="D14" s="67" t="s">
        <v>253</v>
      </c>
      <c r="E14" s="67" t="s">
        <v>254</v>
      </c>
      <c r="F14" s="67" t="s">
        <v>255</v>
      </c>
      <c r="G14" s="67" t="s">
        <v>256</v>
      </c>
    </row>
    <row r="15" customFormat="false" ht="45.75" hidden="false" customHeight="true" outlineLevel="0" collapsed="false">
      <c r="A15" s="90" t="s">
        <v>257</v>
      </c>
      <c r="B15" s="91" t="s">
        <v>258</v>
      </c>
      <c r="C15" s="91" t="s">
        <v>259</v>
      </c>
      <c r="D15" s="91" t="s">
        <v>260</v>
      </c>
      <c r="E15" s="91" t="s">
        <v>261</v>
      </c>
      <c r="F15" s="91" t="s">
        <v>262</v>
      </c>
      <c r="G15" s="7" t="s">
        <v>263</v>
      </c>
    </row>
    <row r="16" customFormat="false" ht="45.75" hidden="false" customHeight="true" outlineLevel="0" collapsed="false">
      <c r="A16" s="90" t="s">
        <v>264</v>
      </c>
      <c r="B16" s="91" t="s">
        <v>265</v>
      </c>
      <c r="C16" s="91" t="s">
        <v>266</v>
      </c>
      <c r="D16" s="91" t="s">
        <v>267</v>
      </c>
      <c r="E16" s="91" t="s">
        <v>268</v>
      </c>
      <c r="F16" s="91" t="s">
        <v>269</v>
      </c>
      <c r="G16" s="30" t="s">
        <v>270</v>
      </c>
    </row>
    <row r="17" customFormat="false" ht="45.75" hidden="false" customHeight="true" outlineLevel="0" collapsed="false">
      <c r="A17" s="90" t="s">
        <v>271</v>
      </c>
      <c r="B17" s="91" t="s">
        <v>272</v>
      </c>
      <c r="C17" s="91" t="s">
        <v>273</v>
      </c>
      <c r="D17" s="91" t="s">
        <v>274</v>
      </c>
      <c r="E17" s="91" t="s">
        <v>275</v>
      </c>
      <c r="F17" s="91" t="s">
        <v>276</v>
      </c>
      <c r="G17" s="7" t="s">
        <v>277</v>
      </c>
    </row>
    <row r="18" customFormat="false" ht="45.75" hidden="false" customHeight="true" outlineLevel="0" collapsed="false">
      <c r="A18" s="90" t="s">
        <v>278</v>
      </c>
      <c r="B18" s="91" t="s">
        <v>279</v>
      </c>
      <c r="C18" s="91" t="s">
        <v>280</v>
      </c>
      <c r="D18" s="91" t="s">
        <v>281</v>
      </c>
      <c r="E18" s="91" t="s">
        <v>282</v>
      </c>
      <c r="F18" s="91" t="s">
        <v>283</v>
      </c>
      <c r="G18" s="7" t="s">
        <v>284</v>
      </c>
    </row>
    <row r="19" customFormat="false" ht="45.75" hidden="false" customHeight="true" outlineLevel="0" collapsed="false">
      <c r="A19" s="90" t="s">
        <v>285</v>
      </c>
      <c r="B19" s="91" t="s">
        <v>286</v>
      </c>
      <c r="C19" s="91" t="s">
        <v>287</v>
      </c>
      <c r="D19" s="91" t="s">
        <v>288</v>
      </c>
      <c r="E19" s="91" t="s">
        <v>289</v>
      </c>
      <c r="F19" s="91" t="s">
        <v>290</v>
      </c>
      <c r="G19" s="30" t="s">
        <v>291</v>
      </c>
    </row>
    <row r="22" customFormat="false" ht="21.75" hidden="false" customHeight="true" outlineLevel="0" collapsed="false">
      <c r="A22" s="44" t="s">
        <v>292</v>
      </c>
      <c r="B22" s="44"/>
      <c r="C22" s="44"/>
      <c r="D22" s="44"/>
      <c r="E22" s="44"/>
      <c r="F22" s="44"/>
      <c r="G22" s="44"/>
    </row>
    <row r="23" customFormat="false" ht="36" hidden="false" customHeight="true" outlineLevel="0" collapsed="false">
      <c r="A23" s="67" t="s">
        <v>293</v>
      </c>
      <c r="B23" s="67" t="s">
        <v>294</v>
      </c>
      <c r="C23" s="67" t="s">
        <v>295</v>
      </c>
      <c r="D23" s="67" t="s">
        <v>296</v>
      </c>
      <c r="E23" s="67" t="s">
        <v>297</v>
      </c>
      <c r="F23" s="67" t="s">
        <v>298</v>
      </c>
      <c r="G23" s="67" t="s">
        <v>299</v>
      </c>
    </row>
    <row r="24" customFormat="false" ht="51.75" hidden="false" customHeight="true" outlineLevel="0" collapsed="false">
      <c r="A24" s="25" t="s">
        <v>300</v>
      </c>
      <c r="B24" s="25" t="s">
        <v>301</v>
      </c>
      <c r="C24" s="25" t="s">
        <v>302</v>
      </c>
      <c r="D24" s="25" t="s">
        <v>303</v>
      </c>
      <c r="E24" s="25" t="s">
        <v>304</v>
      </c>
      <c r="F24" s="92" t="s">
        <v>18</v>
      </c>
      <c r="G24" s="25" t="s">
        <v>305</v>
      </c>
    </row>
    <row r="25" customFormat="false" ht="51.75" hidden="false" customHeight="true" outlineLevel="0" collapsed="false">
      <c r="A25" s="7" t="s">
        <v>306</v>
      </c>
      <c r="B25" s="7" t="s">
        <v>307</v>
      </c>
      <c r="C25" s="7" t="s">
        <v>308</v>
      </c>
      <c r="D25" s="7" t="s">
        <v>309</v>
      </c>
      <c r="E25" s="7" t="s">
        <v>310</v>
      </c>
      <c r="F25" s="93" t="s">
        <v>35</v>
      </c>
      <c r="G25" s="7" t="s">
        <v>311</v>
      </c>
    </row>
    <row r="26" customFormat="false" ht="51.75" hidden="false" customHeight="true" outlineLevel="0" collapsed="false">
      <c r="A26" s="7" t="s">
        <v>312</v>
      </c>
      <c r="B26" s="7" t="s">
        <v>313</v>
      </c>
      <c r="C26" s="7" t="s">
        <v>314</v>
      </c>
      <c r="D26" s="7" t="s">
        <v>315</v>
      </c>
      <c r="E26" s="7" t="s">
        <v>316</v>
      </c>
      <c r="F26" s="93" t="s">
        <v>35</v>
      </c>
      <c r="G26" s="7" t="s">
        <v>317</v>
      </c>
    </row>
    <row r="27" customFormat="false" ht="51.75" hidden="false" customHeight="true" outlineLevel="0" collapsed="false">
      <c r="A27" s="30" t="s">
        <v>318</v>
      </c>
      <c r="B27" s="30" t="s">
        <v>319</v>
      </c>
      <c r="C27" s="30" t="s">
        <v>320</v>
      </c>
      <c r="D27" s="30" t="s">
        <v>321</v>
      </c>
      <c r="E27" s="30" t="s">
        <v>322</v>
      </c>
      <c r="F27" s="94" t="s">
        <v>24</v>
      </c>
      <c r="G27" s="30" t="s">
        <v>323</v>
      </c>
    </row>
  </sheetData>
  <mergeCells count="5">
    <mergeCell ref="A1:G1"/>
    <mergeCell ref="A2:G2"/>
    <mergeCell ref="A4:G4"/>
    <mergeCell ref="A13:G13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2026-06-13T10:51:02Z</dcterms:created>
  <dc:creator>openpyxl</dc:creator>
  <dc:description/>
  <dc:language>en-US</dc:language>
  <cp:lastModifiedBy/>
  <dcterms:modified xsi:type="dcterms:W3CDTF">2026-06-13T10:51:02Z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